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ivot" state="visible" r:id="rId3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1">
    <numFmt numFmtId="164" formatCode="[$-409]m&quot;/&quot;d&quot;/&quot;yy"/>
    <numFmt numFmtId="165" formatCode="#,##0.0#;-#,##0.0#"/>
    <numFmt numFmtId="166" formatCode="#,##0.0;-#,##0.0"/>
    <numFmt numFmtId="167" formatCode="#,##0%;-#,##0%"/>
    <numFmt numFmtId="168" formatCode="#,##0.0%;-#,##0.0%"/>
    <numFmt numFmtId="169" formatCode="#,##0;-#,##0"/>
    <numFmt numFmtId="170" formatCode="&quot;$&quot;#,##0.0#;&quot;$&quot;-#,##0.0#"/>
    <numFmt numFmtId="171" formatCode="&quot;$&quot;#,##0.0#,&quot;K&quot;;&quot;$&quot;-#,##0.0#,&quot;K&quot;"/>
    <numFmt numFmtId="172" formatCode="&quot;$&quot;#,##0.0#,,&quot;M&quot;;&quot;$&quot;-#,##0.0#,,&quot;M&quot;"/>
    <numFmt numFmtId="173" formatCode="&quot;$&quot;#,##0.0#,,,&quot;B&quot;;&quot;$&quot;-#,##0.0#,,,&quot;B&quot;"/>
    <numFmt numFmtId="174" formatCode="&quot;$&quot;#,##0.0#,,,,&quot;T&quot;;&quot;$&quot;-#,##0.0#,,,,&quot;T&quot;"/>
  </numFmts>
  <fonts count="2" x14ac:knownFonts="1">
    <font>
      <color theme="1"/>
      <family val="2"/>
      <scheme val="minor"/>
      <sz val="11"/>
      <name val="Calibri"/>
    </font>
    <font>
      <color rgb="FF5B6372"/>
    </font>
  </fonts>
  <fills count="3">
    <fill>
      <patternFill patternType="none"/>
    </fill>
    <fill>
      <patternFill patternType="gray125"/>
    </fill>
    <fill>
      <patternFill patternType="solid">
        <fgColor rgb="FFF4F4F8"/>
      </patternFill>
    </fill>
  </fills>
  <borders count="2">
    <border>
      <left/>
      <right/>
      <top/>
      <bottom/>
      <diagonal/>
    </border>
    <border>
      <left style="thin">
        <color rgb="FFCBCED7"/>
      </left>
      <right style="thin">
        <color rgb="FFCBCED7"/>
      </right>
      <top style="thin">
        <color rgb="FFCBCED7"/>
      </top>
      <bottom style="thin">
        <color rgb="FFCBCED7"/>
      </bottom>
      <diagonal/>
    </border>
  </borders>
  <cellStyleXfs count="1">
    <xf numFmtId="0" fontId="0" fillId="0" borderId="0"/>
  </cellStyleXfs>
  <cellXfs count="15">
    <xf numFmtId="0" fontId="0" fillId="0" borderId="0" xfId="0"/>
    <xf numFmtId="164" fontId="1" fillId="0" borderId="0" xfId="0" applyNumberFormat="1" applyFont="1"/>
    <xf numFmtId="165" fontId="1" fillId="0" borderId="0" xfId="0" applyNumberFormat="1" applyFont="1"/>
    <xf numFmtId="166" fontId="1" fillId="0" borderId="0" xfId="0" applyNumberFormat="1" applyFont="1"/>
    <xf numFmtId="167" fontId="1" fillId="0" borderId="0" xfId="0" applyNumberFormat="1" applyFont="1"/>
    <xf numFmtId="168" fontId="1" fillId="0" borderId="0" xfId="0" applyNumberFormat="1" applyFont="1"/>
    <xf numFmtId="169" fontId="1" fillId="0" borderId="0" xfId="0" applyNumberFormat="1" applyFont="1"/>
    <xf numFmtId="170" fontId="1" fillId="0" borderId="0" xfId="0" applyNumberFormat="1" applyFont="1"/>
    <xf numFmtId="164" fontId="1" fillId="2" borderId="1" xfId="0" applyNumberFormat="1" applyFont="1" applyFill="1" applyBorder="1"/>
    <xf numFmtId="165" fontId="1" fillId="2" borderId="1" xfId="0" applyNumberFormat="1" applyFont="1" applyFill="1" applyBorder="1"/>
    <xf numFmtId="166" fontId="1" fillId="2" borderId="1" xfId="0" applyNumberFormat="1" applyFont="1" applyFill="1" applyBorder="1"/>
    <xf numFmtId="167" fontId="1" fillId="2" borderId="1" xfId="0" applyNumberFormat="1" applyFont="1" applyFill="1" applyBorder="1"/>
    <xf numFmtId="168" fontId="1" fillId="2" borderId="1" xfId="0" applyNumberFormat="1" applyFont="1" applyFill="1" applyBorder="1"/>
    <xf numFmtId="169" fontId="1" fillId="2" borderId="1" xfId="0" applyNumberFormat="1" applyFont="1" applyFill="1" applyBorder="1"/>
    <xf numFmtId="170" fontId="1" fillId="2" borderId="1" xfId="0" applyNumberFormat="1" applyFont="1" applyFill="1" applyBorder="1"/>
  </cellXfs>
  <cellStyles count="1">
    <cellStyle name="Normal" xfId="0" builtinId="0"/>
  </cellStyles>
  <dxfs count="16">
    <dxf>
      <numFmt numFmtId="171" formatCode="&quot;$&quot;#,##0.0#,&quot;K&quot;;&quot;$&quot;-#,##0.0#,&quot;K&quot;"/>
    </dxf>
    <dxf>
      <numFmt numFmtId="171" formatCode="&quot;$&quot;#,##0.0#,&quot;K&quot;;&quot;$&quot;-#,##0.0#,&quot;K&quot;"/>
    </dxf>
    <dxf>
      <numFmt numFmtId="172" formatCode="&quot;$&quot;#,##0.0#,,&quot;M&quot;;&quot;$&quot;-#,##0.0#,,&quot;M&quot;"/>
    </dxf>
    <dxf>
      <numFmt numFmtId="172" formatCode="&quot;$&quot;#,##0.0#,,&quot;M&quot;;&quot;$&quot;-#,##0.0#,,&quot;M&quot;"/>
    </dxf>
    <dxf>
      <numFmt numFmtId="173" formatCode="&quot;$&quot;#,##0.0#,,,&quot;B&quot;;&quot;$&quot;-#,##0.0#,,,&quot;B&quot;"/>
    </dxf>
    <dxf>
      <numFmt numFmtId="173" formatCode="&quot;$&quot;#,##0.0#,,,&quot;B&quot;;&quot;$&quot;-#,##0.0#,,,&quot;B&quot;"/>
    </dxf>
    <dxf>
      <numFmt numFmtId="174" formatCode="&quot;$&quot;#,##0.0#,,,,&quot;T&quot;;&quot;$&quot;-#,##0.0#,,,,&quot;T&quot;"/>
    </dxf>
    <dxf>
      <numFmt numFmtId="174" formatCode="&quot;$&quot;#,##0.0#,,,,&quot;T&quot;;&quot;$&quot;-#,##0.0#,,,,&quot;T&quot;"/>
    </dxf>
    <dxf>
      <numFmt numFmtId="171" formatCode="&quot;$&quot;#,##0.0#,&quot;K&quot;;&quot;$&quot;-#,##0.0#,&quot;K&quot;"/>
    </dxf>
    <dxf>
      <numFmt numFmtId="171" formatCode="&quot;$&quot;#,##0.0#,&quot;K&quot;;&quot;$&quot;-#,##0.0#,&quot;K&quot;"/>
    </dxf>
    <dxf>
      <numFmt numFmtId="172" formatCode="&quot;$&quot;#,##0.0#,,&quot;M&quot;;&quot;$&quot;-#,##0.0#,,&quot;M&quot;"/>
    </dxf>
    <dxf>
      <numFmt numFmtId="172" formatCode="&quot;$&quot;#,##0.0#,,&quot;M&quot;;&quot;$&quot;-#,##0.0#,,&quot;M&quot;"/>
    </dxf>
    <dxf>
      <numFmt numFmtId="173" formatCode="&quot;$&quot;#,##0.0#,,,&quot;B&quot;;&quot;$&quot;-#,##0.0#,,,&quot;B&quot;"/>
    </dxf>
    <dxf>
      <numFmt numFmtId="173" formatCode="&quot;$&quot;#,##0.0#,,,&quot;B&quot;;&quot;$&quot;-#,##0.0#,,,&quot;B&quot;"/>
    </dxf>
    <dxf>
      <numFmt numFmtId="174" formatCode="&quot;$&quot;#,##0.0#,,,,&quot;T&quot;;&quot;$&quot;-#,##0.0#,,,,&quot;T&quot;"/>
    </dxf>
    <dxf>
      <numFmt numFmtId="174" formatCode="&quot;$&quot;#,##0.0#,,,,&quot;T&quot;;&quot;$&quot;-#,##0.0#,,,,&quot;T&quot;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cols>
    <col min="1" max="1" width="9" style="1" customWidth="1"/>
    <col min="2" max="2" width="9" style="2" customWidth="1"/>
    <col min="3" max="3" width="9" style="2" customWidth="1"/>
    <col min="4" max="4" width="9" style="2" customWidth="1"/>
    <col min="5" max="5" width="9" style="3" customWidth="1"/>
    <col min="6" max="6" width="9.6625" style="2" customWidth="1"/>
    <col min="7" max="7" width="13.422916666666667" style="4" customWidth="1"/>
    <col min="8" max="8" width="9" style="2" customWidth="1"/>
    <col min="9" max="9" width="9" style="4" customWidth="1"/>
    <col min="10" max="10" width="13.647916666666667" style="2" customWidth="1"/>
    <col min="11" max="11" width="13.058333333333334" style="4" customWidth="1"/>
    <col min="12" max="12" width="9" style="5" customWidth="1"/>
    <col min="13" max="13" width="9" style="5" customWidth="1"/>
    <col min="14" max="14" width="9" style="5" customWidth="1"/>
    <col min="15" max="15" width="9" style="6" customWidth="1"/>
    <col min="16" max="16" width="9" style="3" customWidth="1"/>
    <col min="17" max="17" width="16.558333333333334" style="5" customWidth="1"/>
    <col min="18" max="18" width="9" style="6" customWidth="1"/>
    <col min="19" max="19" width="9" style="3" customWidth="1"/>
    <col min="20" max="20" width="9" style="7" customWidth="1"/>
    <col min="21" max="21" width="9" style="7" customWidth="1"/>
  </cols>
  <sheetData>
    <row r="1" spans="1:21" x14ac:dyDescent="0.25">
      <c r="A1" s="1" t="str">
        <v>Days in Date</v>
      </c>
      <c r="B1" s="2" t="str">
        <v>Leads</v>
      </c>
      <c r="C1" s="2" t="str">
        <v>Acqs</v>
      </c>
      <c r="D1" s="2" t="str">
        <v>Regs</v>
      </c>
      <c r="E1" s="3" t="str">
        <v>Ratio</v>
      </c>
      <c r="F1" s="2" t="str">
        <v>Cont from Lds</v>
      </c>
      <c r="G1" s="4" t="str">
        <v>%Cont from Lds</v>
      </c>
      <c r="H1" s="2" t="str">
        <v>Cont</v>
      </c>
      <c r="I1" s="4" t="str">
        <v>Cont%</v>
      </c>
      <c r="J1" s="2" t="str">
        <v>Phone Comm</v>
      </c>
      <c r="K1" s="4" t="str">
        <v>% Phone Comm</v>
      </c>
      <c r="L1" s="5" t="str">
        <v>% Acqs/Leads</v>
      </c>
      <c r="M1" s="5" t="str">
        <v>% Acqs/Cont</v>
      </c>
      <c r="N1" s="5" t="str">
        <v>% Regs/Cont</v>
      </c>
      <c r="O1" s="6" t="str">
        <v>Calls</v>
      </c>
      <c r="P1" s="3" t="str">
        <v>Calls per Lead</v>
      </c>
      <c r="Q1" s="5" t="str">
        <v>%Cont/Calls</v>
      </c>
      <c r="R1" s="6" t="str">
        <v>Retries</v>
      </c>
      <c r="S1" s="3" t="str">
        <v>Retries per Lead</v>
      </c>
      <c r="T1" s="7" t="str">
        <v>Contract Price</v>
      </c>
      <c r="U1" s="7" t="str">
        <v>SOV</v>
      </c>
    </row>
    <row r="2" spans="1:21" x14ac:dyDescent="0.25">
      <c r="A2" s="1">
        <v>46266</v>
      </c>
      <c r="B2" s="2">
        <v>104</v>
      </c>
      <c r="C2" s="2"/>
      <c r="D2" s="2"/>
      <c r="E2" s="3"/>
      <c r="F2" s="2">
        <v>27</v>
      </c>
      <c r="G2" s="4">
        <v>0.259615384615385</v>
      </c>
      <c r="H2" s="2">
        <v>18</v>
      </c>
      <c r="I2" s="4">
        <v>0.173076923076923</v>
      </c>
      <c r="J2" s="2">
        <v>34</v>
      </c>
      <c r="K2" s="4">
        <v>0.326923076923077</v>
      </c>
      <c r="L2" s="5">
        <v>0</v>
      </c>
      <c r="M2" s="5">
        <v>0</v>
      </c>
      <c r="N2" s="5">
        <v>0</v>
      </c>
      <c r="O2" s="6">
        <v>659</v>
      </c>
      <c r="P2" s="3">
        <v>6.33653846153846</v>
      </c>
      <c r="Q2" s="5">
        <v>0.0303490136570561</v>
      </c>
      <c r="R2" s="6">
        <v>614</v>
      </c>
      <c r="S2" s="3">
        <v>5.90384615384615</v>
      </c>
      <c r="T2" s="7">
        <v>0</v>
      </c>
      <c r="U2" s="7">
        <v>0</v>
      </c>
    </row>
    <row r="3" spans="1:21" x14ac:dyDescent="0.25">
      <c r="A3" s="8">
        <v>46267</v>
      </c>
      <c r="B3" s="9">
        <v>49</v>
      </c>
      <c r="C3" s="9">
        <v>1</v>
      </c>
      <c r="D3" s="9">
        <v>1</v>
      </c>
      <c r="E3" s="10">
        <v>1</v>
      </c>
      <c r="F3" s="9">
        <v>39</v>
      </c>
      <c r="G3" s="11">
        <v>0.795918367346939</v>
      </c>
      <c r="H3" s="9">
        <v>29</v>
      </c>
      <c r="I3" s="11">
        <v>0.591836734693878</v>
      </c>
      <c r="J3" s="9">
        <v>55</v>
      </c>
      <c r="K3" s="11">
        <v>1.12244897959184</v>
      </c>
      <c r="L3" s="12">
        <v>0.0204081632653061</v>
      </c>
      <c r="M3" s="12">
        <v>0.0344827586206897</v>
      </c>
      <c r="N3" s="12">
        <v>0.0217391304347826</v>
      </c>
      <c r="O3" s="13">
        <v>615</v>
      </c>
      <c r="P3" s="10">
        <v>12.5510204081633</v>
      </c>
      <c r="Q3" s="12">
        <v>0.0747967479674797</v>
      </c>
      <c r="R3" s="13">
        <v>576</v>
      </c>
      <c r="S3" s="10">
        <v>11.7551020408163</v>
      </c>
      <c r="T3" s="14">
        <v>979.3</v>
      </c>
      <c r="U3" s="14">
        <v>783.44</v>
      </c>
    </row>
    <row r="4" spans="1:21" x14ac:dyDescent="0.25">
      <c r="A4" s="1">
        <v>46268</v>
      </c>
      <c r="B4" s="2">
        <v>35</v>
      </c>
      <c r="C4" s="2"/>
      <c r="D4" s="2"/>
      <c r="E4" s="3"/>
      <c r="F4" s="2">
        <v>12</v>
      </c>
      <c r="G4" s="4">
        <v>0.342857142857143</v>
      </c>
      <c r="H4" s="2">
        <v>16</v>
      </c>
      <c r="I4" s="4">
        <v>0.457142857142857</v>
      </c>
      <c r="J4" s="2">
        <v>30</v>
      </c>
      <c r="K4" s="4">
        <v>0.857142857142857</v>
      </c>
      <c r="L4" s="5">
        <v>0</v>
      </c>
      <c r="M4" s="5">
        <v>0</v>
      </c>
      <c r="N4" s="5">
        <v>0</v>
      </c>
      <c r="O4" s="6">
        <v>779</v>
      </c>
      <c r="P4" s="3">
        <v>22.2571428571429</v>
      </c>
      <c r="Q4" s="5">
        <v>0.0256739409499358</v>
      </c>
      <c r="R4" s="6">
        <v>743</v>
      </c>
      <c r="S4" s="3">
        <v>21.2285714285714</v>
      </c>
      <c r="T4" s="7">
        <v>0</v>
      </c>
      <c r="U4" s="7">
        <v>0</v>
      </c>
    </row>
    <row r="5" spans="1:21" x14ac:dyDescent="0.25">
      <c r="A5" s="8">
        <v>46269</v>
      </c>
      <c r="B5" s="9">
        <v>43</v>
      </c>
      <c r="C5" s="9">
        <v>1</v>
      </c>
      <c r="D5" s="9">
        <v>1</v>
      </c>
      <c r="E5" s="10">
        <v>1</v>
      </c>
      <c r="F5" s="9">
        <v>11</v>
      </c>
      <c r="G5" s="11">
        <v>0.255813953488372</v>
      </c>
      <c r="H5" s="9">
        <v>20</v>
      </c>
      <c r="I5" s="11">
        <v>0.465116279069767</v>
      </c>
      <c r="J5" s="9">
        <v>27</v>
      </c>
      <c r="K5" s="11">
        <v>0.627906976744186</v>
      </c>
      <c r="L5" s="12">
        <v>0.0232558139534884</v>
      </c>
      <c r="M5" s="12">
        <v>0.05</v>
      </c>
      <c r="N5" s="12">
        <v>0.05</v>
      </c>
      <c r="O5" s="13">
        <v>516</v>
      </c>
      <c r="P5" s="10">
        <v>12</v>
      </c>
      <c r="Q5" s="12">
        <v>0.0387596899224806</v>
      </c>
      <c r="R5" s="13">
        <v>485</v>
      </c>
      <c r="S5" s="10">
        <v>11.2790697674419</v>
      </c>
      <c r="T5" s="14">
        <v>1399</v>
      </c>
      <c r="U5" s="14">
        <v>1119.2</v>
      </c>
    </row>
    <row r="6" spans="1:21" x14ac:dyDescent="0.25">
      <c r="A6" s="1">
        <v>46272</v>
      </c>
      <c r="B6" s="2">
        <v>42</v>
      </c>
      <c r="C6" s="2">
        <v>1</v>
      </c>
      <c r="D6" s="2">
        <v>1</v>
      </c>
      <c r="E6" s="3">
        <v>1</v>
      </c>
      <c r="F6" s="2">
        <v>13</v>
      </c>
      <c r="G6" s="4">
        <v>0.30952380952381</v>
      </c>
      <c r="H6" s="2">
        <v>9</v>
      </c>
      <c r="I6" s="4">
        <v>0.214285714285714</v>
      </c>
      <c r="J6" s="2">
        <v>19</v>
      </c>
      <c r="K6" s="4">
        <v>0.452380952380952</v>
      </c>
      <c r="L6" s="5">
        <v>0.0238095238095238</v>
      </c>
      <c r="M6" s="5">
        <v>0.111111111111111</v>
      </c>
      <c r="N6" s="5">
        <v>0.0833333333333333</v>
      </c>
      <c r="O6" s="6">
        <v>245</v>
      </c>
      <c r="P6" s="3">
        <v>5.83333333333333</v>
      </c>
      <c r="Q6" s="5">
        <v>0.0489795918367347</v>
      </c>
      <c r="R6" s="6">
        <v>227</v>
      </c>
      <c r="S6" s="3">
        <v>5.40476190476191</v>
      </c>
      <c r="T6" s="7">
        <v>1399</v>
      </c>
      <c r="U6" s="7">
        <v>1119.2</v>
      </c>
    </row>
    <row r="7" spans="1:21" x14ac:dyDescent="0.25">
      <c r="A7" s="8">
        <v>46273</v>
      </c>
      <c r="B7" s="9">
        <v>78</v>
      </c>
      <c r="C7" s="9"/>
      <c r="D7" s="9"/>
      <c r="E7" s="10"/>
      <c r="F7" s="9">
        <v>22</v>
      </c>
      <c r="G7" s="11">
        <v>0.282051282051282</v>
      </c>
      <c r="H7" s="9">
        <v>15</v>
      </c>
      <c r="I7" s="11">
        <v>0.192307692307692</v>
      </c>
      <c r="J7" s="9">
        <v>27</v>
      </c>
      <c r="K7" s="11">
        <v>0.346153846153846</v>
      </c>
      <c r="L7" s="12">
        <v>0</v>
      </c>
      <c r="M7" s="12">
        <v>0</v>
      </c>
      <c r="N7" s="12">
        <v>0</v>
      </c>
      <c r="O7" s="13">
        <v>495</v>
      </c>
      <c r="P7" s="10">
        <v>6.34615384615385</v>
      </c>
      <c r="Q7" s="12">
        <v>0.0363636363636364</v>
      </c>
      <c r="R7" s="13">
        <v>464</v>
      </c>
      <c r="S7" s="10">
        <v>5.94871794871795</v>
      </c>
      <c r="T7" s="14">
        <v>0</v>
      </c>
      <c r="U7" s="14">
        <v>0</v>
      </c>
    </row>
    <row r="8" spans="1:21" x14ac:dyDescent="0.25">
      <c r="A8" s="1">
        <v>46274</v>
      </c>
      <c r="B8" s="2">
        <v>71</v>
      </c>
      <c r="C8" s="2"/>
      <c r="D8" s="2"/>
      <c r="E8" s="3"/>
      <c r="F8" s="2">
        <v>44</v>
      </c>
      <c r="G8" s="4">
        <v>0.619718309859155</v>
      </c>
      <c r="H8" s="2">
        <v>34</v>
      </c>
      <c r="I8" s="4">
        <v>0.47887323943662</v>
      </c>
      <c r="J8" s="2">
        <v>57</v>
      </c>
      <c r="K8" s="4">
        <v>0.802816901408451</v>
      </c>
      <c r="L8" s="5">
        <v>0</v>
      </c>
      <c r="M8" s="5">
        <v>0</v>
      </c>
      <c r="N8" s="5">
        <v>0</v>
      </c>
      <c r="O8" s="6">
        <v>744</v>
      </c>
      <c r="P8" s="3">
        <v>10.4788732394366</v>
      </c>
      <c r="Q8" s="5">
        <v>0.0645161290322581</v>
      </c>
      <c r="R8" s="6">
        <v>702</v>
      </c>
      <c r="S8" s="3">
        <v>9.88732394366197</v>
      </c>
      <c r="T8" s="7">
        <v>0</v>
      </c>
      <c r="U8" s="7">
        <v>0</v>
      </c>
    </row>
    <row r="9" spans="1:21" x14ac:dyDescent="0.25">
      <c r="A9" s="8">
        <v>46275</v>
      </c>
      <c r="B9" s="9">
        <v>62</v>
      </c>
      <c r="C9" s="9">
        <v>2</v>
      </c>
      <c r="D9" s="9">
        <v>2</v>
      </c>
      <c r="E9" s="10">
        <v>1</v>
      </c>
      <c r="F9" s="9">
        <v>14</v>
      </c>
      <c r="G9" s="11">
        <v>0.225806451612903</v>
      </c>
      <c r="H9" s="9">
        <v>19</v>
      </c>
      <c r="I9" s="11">
        <v>0.306451612903226</v>
      </c>
      <c r="J9" s="9">
        <v>29</v>
      </c>
      <c r="K9" s="11">
        <v>0.467741935483871</v>
      </c>
      <c r="L9" s="12">
        <v>0.032258064516129</v>
      </c>
      <c r="M9" s="12">
        <v>0.105263157894737</v>
      </c>
      <c r="N9" s="12">
        <v>0.1</v>
      </c>
      <c r="O9" s="13">
        <v>499</v>
      </c>
      <c r="P9" s="10">
        <v>8.04838709677419</v>
      </c>
      <c r="Q9" s="12">
        <v>0.0400801603206413</v>
      </c>
      <c r="R9" s="13">
        <v>466</v>
      </c>
      <c r="S9" s="10">
        <v>7.51612903225806</v>
      </c>
      <c r="T9" s="14">
        <v>1734.4</v>
      </c>
      <c r="U9" s="14">
        <v>1387.52</v>
      </c>
    </row>
    <row r="10" spans="1:21" x14ac:dyDescent="0.25">
      <c r="A10" s="1">
        <v>46276</v>
      </c>
      <c r="B10" s="2">
        <v>51</v>
      </c>
      <c r="C10" s="2"/>
      <c r="D10" s="2"/>
      <c r="E10" s="3"/>
      <c r="F10" s="2">
        <v>10</v>
      </c>
      <c r="G10" s="4">
        <v>0.196078431372549</v>
      </c>
      <c r="H10" s="2">
        <v>13</v>
      </c>
      <c r="I10" s="4">
        <v>0.254901960784314</v>
      </c>
      <c r="J10" s="2">
        <v>23</v>
      </c>
      <c r="K10" s="4">
        <v>0.450980392156863</v>
      </c>
      <c r="L10" s="5">
        <v>0</v>
      </c>
      <c r="M10" s="5">
        <v>0</v>
      </c>
      <c r="N10" s="5">
        <v>0</v>
      </c>
      <c r="O10" s="6">
        <v>350</v>
      </c>
      <c r="P10" s="3">
        <v>6.86274509803922</v>
      </c>
      <c r="Q10" s="5">
        <v>0.0371428571428571</v>
      </c>
      <c r="R10" s="6">
        <v>320</v>
      </c>
      <c r="S10" s="3">
        <v>6.27450980392157</v>
      </c>
      <c r="T10" s="7">
        <v>0</v>
      </c>
      <c r="U10" s="7">
        <v>0</v>
      </c>
    </row>
    <row r="11" spans="1:21" x14ac:dyDescent="0.25">
      <c r="A11" s="8">
        <v>46279</v>
      </c>
      <c r="B11" s="9">
        <v>28</v>
      </c>
      <c r="C11" s="9"/>
      <c r="D11" s="9"/>
      <c r="E11" s="10"/>
      <c r="F11" s="9">
        <v>8</v>
      </c>
      <c r="G11" s="11">
        <v>0.285714285714286</v>
      </c>
      <c r="H11" s="9">
        <v>12</v>
      </c>
      <c r="I11" s="11">
        <v>0.428571428571429</v>
      </c>
      <c r="J11" s="9">
        <v>16</v>
      </c>
      <c r="K11" s="11">
        <v>0.571428571428571</v>
      </c>
      <c r="L11" s="12">
        <v>0</v>
      </c>
      <c r="M11" s="12">
        <v>0</v>
      </c>
      <c r="N11" s="12">
        <v>0</v>
      </c>
      <c r="O11" s="13">
        <v>474</v>
      </c>
      <c r="P11" s="10">
        <v>16.9285714285714</v>
      </c>
      <c r="Q11" s="12">
        <v>0.0274261603375527</v>
      </c>
      <c r="R11" s="13">
        <v>449</v>
      </c>
      <c r="S11" s="10">
        <v>16.0357142857143</v>
      </c>
      <c r="T11" s="14">
        <v>0</v>
      </c>
      <c r="U11" s="14">
        <v>0</v>
      </c>
    </row>
    <row r="12" spans="1:21" x14ac:dyDescent="0.25">
      <c r="A12" s="1">
        <v>46280</v>
      </c>
      <c r="B12" s="2">
        <v>34</v>
      </c>
      <c r="C12" s="2"/>
      <c r="D12" s="2"/>
      <c r="E12" s="3"/>
      <c r="F12" s="2">
        <v>8</v>
      </c>
      <c r="G12" s="4">
        <v>0.235294117647059</v>
      </c>
      <c r="H12" s="2">
        <v>10</v>
      </c>
      <c r="I12" s="4">
        <v>0.294117647058824</v>
      </c>
      <c r="J12" s="2">
        <v>12</v>
      </c>
      <c r="K12" s="4">
        <v>0.352941176470588</v>
      </c>
      <c r="L12" s="5">
        <v>0</v>
      </c>
      <c r="M12" s="5">
        <v>0</v>
      </c>
      <c r="N12" s="5">
        <v>0</v>
      </c>
      <c r="O12" s="6">
        <v>271</v>
      </c>
      <c r="P12" s="3">
        <v>7.97058823529412</v>
      </c>
      <c r="Q12" s="5">
        <v>0.040590405904059</v>
      </c>
      <c r="R12" s="6">
        <v>255</v>
      </c>
      <c r="S12" s="3">
        <v>7.5</v>
      </c>
      <c r="T12" s="7">
        <v>0</v>
      </c>
      <c r="U12" s="7">
        <v>0</v>
      </c>
    </row>
    <row r="13" spans="1:21" x14ac:dyDescent="0.25">
      <c r="A13" s="8">
        <v>46281</v>
      </c>
      <c r="B13" s="9">
        <v>31</v>
      </c>
      <c r="C13" s="9">
        <v>1</v>
      </c>
      <c r="D13" s="9">
        <v>1</v>
      </c>
      <c r="E13" s="10">
        <v>1</v>
      </c>
      <c r="F13" s="9">
        <v>14</v>
      </c>
      <c r="G13" s="11">
        <v>0.451612903225806</v>
      </c>
      <c r="H13" s="9">
        <v>17</v>
      </c>
      <c r="I13" s="11">
        <v>0.548387096774194</v>
      </c>
      <c r="J13" s="9">
        <v>23</v>
      </c>
      <c r="K13" s="11">
        <v>0.741935483870968</v>
      </c>
      <c r="L13" s="12">
        <v>0.032258064516129</v>
      </c>
      <c r="M13" s="12">
        <v>0.0588235294117647</v>
      </c>
      <c r="N13" s="12">
        <v>0.0588235294117647</v>
      </c>
      <c r="O13" s="13">
        <v>422</v>
      </c>
      <c r="P13" s="10">
        <v>13.6129032258065</v>
      </c>
      <c r="Q13" s="12">
        <v>0.0402843601895735</v>
      </c>
      <c r="R13" s="13">
        <v>384</v>
      </c>
      <c r="S13" s="10">
        <v>12.3870967741935</v>
      </c>
      <c r="T13" s="14">
        <v>895</v>
      </c>
      <c r="U13" s="14">
        <v>716</v>
      </c>
    </row>
    <row r="14" spans="1:21" x14ac:dyDescent="0.25">
      <c r="A14" s="1">
        <v>46282</v>
      </c>
      <c r="B14" s="2">
        <v>33</v>
      </c>
      <c r="C14" s="2">
        <v>1</v>
      </c>
      <c r="D14" s="2">
        <v>1</v>
      </c>
      <c r="E14" s="3">
        <v>1</v>
      </c>
      <c r="F14" s="2">
        <v>14</v>
      </c>
      <c r="G14" s="4">
        <v>0.424242424242424</v>
      </c>
      <c r="H14" s="2">
        <v>18</v>
      </c>
      <c r="I14" s="4">
        <v>0.545454545454545</v>
      </c>
      <c r="J14" s="2">
        <v>28</v>
      </c>
      <c r="K14" s="4">
        <v>0.848484848484849</v>
      </c>
      <c r="L14" s="5">
        <v>0.0303030303030303</v>
      </c>
      <c r="M14" s="5">
        <v>0.0555555555555556</v>
      </c>
      <c r="N14" s="5">
        <v>0.0526315789473684</v>
      </c>
      <c r="O14" s="6">
        <v>445</v>
      </c>
      <c r="P14" s="3">
        <v>13.4848484848485</v>
      </c>
      <c r="Q14" s="5">
        <v>0.0426966292134831</v>
      </c>
      <c r="R14" s="6">
        <v>405</v>
      </c>
      <c r="S14" s="3">
        <v>12.2727272727273</v>
      </c>
      <c r="T14" s="7">
        <v>839.4</v>
      </c>
      <c r="U14" s="7">
        <v>671.52</v>
      </c>
    </row>
    <row r="15" spans="1:21" x14ac:dyDescent="0.25">
      <c r="A15" s="8">
        <v>46283</v>
      </c>
      <c r="B15" s="9">
        <v>36</v>
      </c>
      <c r="C15" s="9"/>
      <c r="D15" s="9"/>
      <c r="E15" s="10"/>
      <c r="F15" s="9">
        <v>13</v>
      </c>
      <c r="G15" s="11">
        <v>0.361111111111111</v>
      </c>
      <c r="H15" s="9">
        <v>17</v>
      </c>
      <c r="I15" s="11">
        <v>0.472222222222222</v>
      </c>
      <c r="J15" s="9">
        <v>35</v>
      </c>
      <c r="K15" s="11">
        <v>0.972222222222222</v>
      </c>
      <c r="L15" s="12">
        <v>0</v>
      </c>
      <c r="M15" s="12">
        <v>0</v>
      </c>
      <c r="N15" s="12">
        <v>0</v>
      </c>
      <c r="O15" s="13">
        <v>627</v>
      </c>
      <c r="P15" s="10">
        <v>17.4166666666667</v>
      </c>
      <c r="Q15" s="12">
        <v>0.0318979266347687</v>
      </c>
      <c r="R15" s="13">
        <v>600</v>
      </c>
      <c r="S15" s="10">
        <v>16.6666666666667</v>
      </c>
      <c r="T15" s="14">
        <v>0</v>
      </c>
      <c r="U15" s="14">
        <v>0</v>
      </c>
    </row>
    <row r="16" spans="1:21" x14ac:dyDescent="0.25">
      <c r="A16" s="1">
        <v>46286</v>
      </c>
      <c r="B16" s="2">
        <v>30</v>
      </c>
      <c r="C16" s="2">
        <v>1</v>
      </c>
      <c r="D16" s="2">
        <v>1</v>
      </c>
      <c r="E16" s="3">
        <v>1</v>
      </c>
      <c r="F16" s="2">
        <v>36</v>
      </c>
      <c r="G16" s="4">
        <v>1.2</v>
      </c>
      <c r="H16" s="2">
        <v>22</v>
      </c>
      <c r="I16" s="4">
        <v>0.733333333333333</v>
      </c>
      <c r="J16" s="2">
        <v>49</v>
      </c>
      <c r="K16" s="4">
        <v>1.63333333333333</v>
      </c>
      <c r="L16" s="5">
        <v>0.0333333333333333</v>
      </c>
      <c r="M16" s="5">
        <v>0.0454545454545455</v>
      </c>
      <c r="N16" s="5">
        <v>0.0227272727272727</v>
      </c>
      <c r="O16" s="6">
        <v>664</v>
      </c>
      <c r="P16" s="3">
        <v>22.1333333333333</v>
      </c>
      <c r="Q16" s="5">
        <v>0.0662650602409639</v>
      </c>
      <c r="R16" s="6">
        <v>637</v>
      </c>
      <c r="S16" s="3">
        <v>21.2333333333333</v>
      </c>
      <c r="T16" s="7">
        <v>979.3</v>
      </c>
      <c r="U16" s="7">
        <v>783.44</v>
      </c>
    </row>
    <row r="17" spans="1:21" x14ac:dyDescent="0.25">
      <c r="A17" s="8">
        <v>46287</v>
      </c>
      <c r="B17" s="9">
        <v>39</v>
      </c>
      <c r="C17" s="9"/>
      <c r="D17" s="9"/>
      <c r="E17" s="10"/>
      <c r="F17" s="9">
        <v>33</v>
      </c>
      <c r="G17" s="11">
        <v>0.846153846153846</v>
      </c>
      <c r="H17" s="9">
        <v>24</v>
      </c>
      <c r="I17" s="11">
        <v>0.615384615384615</v>
      </c>
      <c r="J17" s="9">
        <v>39</v>
      </c>
      <c r="K17" s="11">
        <v>1</v>
      </c>
      <c r="L17" s="12">
        <v>0</v>
      </c>
      <c r="M17" s="12">
        <v>0</v>
      </c>
      <c r="N17" s="12">
        <v>0</v>
      </c>
      <c r="O17" s="13">
        <v>542</v>
      </c>
      <c r="P17" s="10">
        <v>13.8974358974359</v>
      </c>
      <c r="Q17" s="12">
        <v>0.0645756457564576</v>
      </c>
      <c r="R17" s="13">
        <v>533</v>
      </c>
      <c r="S17" s="10">
        <v>13.6666666666667</v>
      </c>
      <c r="T17" s="14">
        <v>0</v>
      </c>
      <c r="U17" s="14">
        <v>0</v>
      </c>
    </row>
    <row r="18" spans="1:21" x14ac:dyDescent="0.25">
      <c r="A18" s="1">
        <v>46288</v>
      </c>
      <c r="B18" s="2">
        <v>36</v>
      </c>
      <c r="C18" s="2"/>
      <c r="D18" s="2"/>
      <c r="E18" s="3"/>
      <c r="F18" s="2">
        <v>15</v>
      </c>
      <c r="G18" s="4">
        <v>0.416666666666667</v>
      </c>
      <c r="H18" s="2">
        <v>22</v>
      </c>
      <c r="I18" s="4">
        <v>0.611111111111111</v>
      </c>
      <c r="J18" s="2">
        <v>24</v>
      </c>
      <c r="K18" s="4">
        <v>0.666666666666667</v>
      </c>
      <c r="L18" s="5">
        <v>0</v>
      </c>
      <c r="M18" s="5">
        <v>0</v>
      </c>
      <c r="N18" s="5">
        <v>0</v>
      </c>
      <c r="O18" s="6">
        <v>762</v>
      </c>
      <c r="P18" s="3">
        <v>21.1666666666667</v>
      </c>
      <c r="Q18" s="5">
        <v>0.0328083989501312</v>
      </c>
      <c r="R18" s="6">
        <v>741</v>
      </c>
      <c r="S18" s="3">
        <v>20.5833333333333</v>
      </c>
      <c r="T18" s="7">
        <v>0</v>
      </c>
      <c r="U18" s="7">
        <v>0</v>
      </c>
    </row>
    <row r="19" spans="1:21" x14ac:dyDescent="0.25">
      <c r="A19" s="8">
        <v>46289</v>
      </c>
      <c r="B19" s="9">
        <v>51</v>
      </c>
      <c r="C19" s="9">
        <v>5</v>
      </c>
      <c r="D19" s="9">
        <v>5</v>
      </c>
      <c r="E19" s="10">
        <v>1</v>
      </c>
      <c r="F19" s="9">
        <v>40</v>
      </c>
      <c r="G19" s="11">
        <v>0.784313725490196</v>
      </c>
      <c r="H19" s="9">
        <v>37</v>
      </c>
      <c r="I19" s="11">
        <v>0.725490196078431</v>
      </c>
      <c r="J19" s="9">
        <v>52</v>
      </c>
      <c r="K19" s="11">
        <v>1.01960784313725</v>
      </c>
      <c r="L19" s="12">
        <v>0.0980392156862745</v>
      </c>
      <c r="M19" s="12">
        <v>0.135135135135135</v>
      </c>
      <c r="N19" s="12">
        <v>0.0961538461538462</v>
      </c>
      <c r="O19" s="13">
        <v>748</v>
      </c>
      <c r="P19" s="10">
        <v>14.6666666666667</v>
      </c>
      <c r="Q19" s="12">
        <v>0.0695187165775401</v>
      </c>
      <c r="R19" s="13">
        <v>718</v>
      </c>
      <c r="S19" s="10">
        <v>14.078431372549</v>
      </c>
      <c r="T19" s="14">
        <v>305</v>
      </c>
      <c r="U19" s="14">
        <v>244</v>
      </c>
    </row>
    <row r="20" spans="1:21" x14ac:dyDescent="0.25">
      <c r="A20" s="1">
        <v>46290</v>
      </c>
      <c r="B20" s="2">
        <v>32</v>
      </c>
      <c r="C20" s="2">
        <v>1</v>
      </c>
      <c r="D20" s="2">
        <v>1</v>
      </c>
      <c r="E20" s="3">
        <v>1</v>
      </c>
      <c r="F20" s="2">
        <v>11</v>
      </c>
      <c r="G20" s="4">
        <v>0.34375</v>
      </c>
      <c r="H20" s="2">
        <v>13</v>
      </c>
      <c r="I20" s="4">
        <v>0.40625</v>
      </c>
      <c r="J20" s="2">
        <v>16</v>
      </c>
      <c r="K20" s="4">
        <v>0.5</v>
      </c>
      <c r="L20" s="5">
        <v>0.03125</v>
      </c>
      <c r="M20" s="5">
        <v>0.0769230769230769</v>
      </c>
      <c r="N20" s="5">
        <v>0.0666666666666667</v>
      </c>
      <c r="O20" s="6">
        <v>531</v>
      </c>
      <c r="P20" s="3">
        <v>16.59375</v>
      </c>
      <c r="Q20" s="5">
        <v>0.0282485875706215</v>
      </c>
      <c r="R20" s="6">
        <v>515</v>
      </c>
      <c r="S20" s="3">
        <v>16.09375</v>
      </c>
      <c r="T20" s="7">
        <v>49</v>
      </c>
      <c r="U20" s="7">
        <v>39.2</v>
      </c>
    </row>
    <row r="21" spans="1:21" x14ac:dyDescent="0.25">
      <c r="A21" s="8">
        <v>46293</v>
      </c>
      <c r="B21" s="9">
        <v>4</v>
      </c>
      <c r="C21" s="9"/>
      <c r="D21" s="9"/>
      <c r="E21" s="10"/>
      <c r="F21" s="9">
        <v>1</v>
      </c>
      <c r="G21" s="11">
        <v>0.25</v>
      </c>
      <c r="H21" s="9"/>
      <c r="I21" s="11">
        <v>0</v>
      </c>
      <c r="J21" s="9"/>
      <c r="K21" s="11">
        <v>0</v>
      </c>
      <c r="L21" s="12">
        <v>0</v>
      </c>
      <c r="M21" s="12"/>
      <c r="N21" s="12">
        <v>0</v>
      </c>
      <c r="O21" s="13"/>
      <c r="P21" s="10">
        <v>0</v>
      </c>
      <c r="Q21" s="12"/>
      <c r="R21" s="13"/>
      <c r="S21" s="10">
        <v>0</v>
      </c>
      <c r="T21" s="14">
        <v>0</v>
      </c>
      <c r="U21" s="14">
        <v>0</v>
      </c>
    </row>
    <row r="22" spans="1:21" x14ac:dyDescent="0.25">
      <c r="A22" s="1" t="str">
        <v>Grand Total</v>
      </c>
      <c r="B22" s="2">
        <v>889</v>
      </c>
      <c r="C22" s="2">
        <v>14</v>
      </c>
      <c r="D22" s="2">
        <v>14</v>
      </c>
      <c r="E22" s="3">
        <v>1</v>
      </c>
      <c r="F22" s="2">
        <v>385</v>
      </c>
      <c r="G22" s="4">
        <v>0.433070866141732</v>
      </c>
      <c r="H22" s="2">
        <v>365</v>
      </c>
      <c r="I22" s="4">
        <v>0.410573678290214</v>
      </c>
      <c r="J22" s="2">
        <v>595</v>
      </c>
      <c r="K22" s="4">
        <v>0.669291338582677</v>
      </c>
      <c r="L22" s="5">
        <v>0.015748031496063</v>
      </c>
      <c r="M22" s="5">
        <v>0.0383561643835616</v>
      </c>
      <c r="N22" s="5">
        <v>0.0298507462686567</v>
      </c>
      <c r="O22" s="6">
        <v>10388</v>
      </c>
      <c r="P22" s="3">
        <v>11.6850393700787</v>
      </c>
      <c r="Q22" s="5">
        <v>0.0451482479784367</v>
      </c>
      <c r="R22" s="6">
        <v>9834</v>
      </c>
      <c r="S22" s="3">
        <v>11.0618672665917</v>
      </c>
      <c r="T22" s="7">
        <v>8579.4</v>
      </c>
      <c r="U22" s="7">
        <v>6863.52</v>
      </c>
    </row>
  </sheetData>
  <conditionalFormatting sqref="T:T">
    <cfRule type="cellIs" dxfId="0" priority="1000" operator="between">
      <formula>1000</formula>
      <formula>1000000</formula>
    </cfRule>
  </conditionalFormatting>
  <conditionalFormatting sqref="T:T">
    <cfRule type="cellIs" dxfId="1" priority="1001" operator="between">
      <formula>-1000</formula>
      <formula>-1000000</formula>
    </cfRule>
  </conditionalFormatting>
  <conditionalFormatting sqref="T:T">
    <cfRule type="cellIs" dxfId="2" priority="1002" operator="between">
      <formula>1000000</formula>
      <formula>1000000000</formula>
    </cfRule>
  </conditionalFormatting>
  <conditionalFormatting sqref="T:T">
    <cfRule type="cellIs" dxfId="3" priority="1003" operator="between">
      <formula>-1000000</formula>
      <formula>-1000000000</formula>
    </cfRule>
  </conditionalFormatting>
  <conditionalFormatting sqref="T:T">
    <cfRule type="cellIs" dxfId="4" priority="1004" operator="between">
      <formula>1000000000</formula>
      <formula>1000000000000</formula>
    </cfRule>
  </conditionalFormatting>
  <conditionalFormatting sqref="T:T">
    <cfRule type="cellIs" dxfId="5" priority="1005" operator="between">
      <formula>-1000000000</formula>
      <formula>-1000000000000</formula>
    </cfRule>
  </conditionalFormatting>
  <conditionalFormatting sqref="T:T">
    <cfRule type="cellIs" dxfId="6" priority="1006" operator="greaterThanOrEqual">
      <formula>1000000000000</formula>
    </cfRule>
  </conditionalFormatting>
  <conditionalFormatting sqref="T:T">
    <cfRule type="cellIs" dxfId="7" priority="1007" operator="lessThanOrEqual">
      <formula>-1000000000000</formula>
    </cfRule>
  </conditionalFormatting>
  <conditionalFormatting sqref="U:U">
    <cfRule type="cellIs" dxfId="8" priority="1008" operator="between">
      <formula>1000</formula>
      <formula>1000000</formula>
    </cfRule>
  </conditionalFormatting>
  <conditionalFormatting sqref="U:U">
    <cfRule type="cellIs" dxfId="9" priority="1009" operator="between">
      <formula>-1000</formula>
      <formula>-1000000</formula>
    </cfRule>
  </conditionalFormatting>
  <conditionalFormatting sqref="U:U">
    <cfRule type="cellIs" dxfId="10" priority="1010" operator="between">
      <formula>1000000</formula>
      <formula>1000000000</formula>
    </cfRule>
  </conditionalFormatting>
  <conditionalFormatting sqref="U:U">
    <cfRule type="cellIs" dxfId="11" priority="1011" operator="between">
      <formula>-1000000</formula>
      <formula>-1000000000</formula>
    </cfRule>
  </conditionalFormatting>
  <conditionalFormatting sqref="U:U">
    <cfRule type="cellIs" dxfId="12" priority="1012" operator="between">
      <formula>1000000000</formula>
      <formula>1000000000000</formula>
    </cfRule>
  </conditionalFormatting>
  <conditionalFormatting sqref="U:U">
    <cfRule type="cellIs" dxfId="13" priority="1013" operator="between">
      <formula>-1000000000</formula>
      <formula>-1000000000000</formula>
    </cfRule>
  </conditionalFormatting>
  <conditionalFormatting sqref="U:U">
    <cfRule type="cellIs" dxfId="14" priority="1014" operator="greaterThanOrEqual">
      <formula>1000000000000</formula>
    </cfRule>
  </conditionalFormatting>
  <conditionalFormatting sqref="U:U">
    <cfRule type="cellIs" dxfId="15" priority="1015" operator="lessThanOrEqual">
      <formula>-1000000000000</formula>
    </cfRule>
  </conditionalFormatting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pivot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ExcelJS</dc:creator>
  <cp:lastModifiedBy>ExcelJS</cp:lastModifiedBy>
  <dcterms:created xsi:type="dcterms:W3CDTF">2026-09-28T08:59:06Z</dcterms:created>
  <dcterms:modified xsi:type="dcterms:W3CDTF">2026-09-28T08:59:06Z</dcterms:modified>
</cp:coreProperties>
</file>