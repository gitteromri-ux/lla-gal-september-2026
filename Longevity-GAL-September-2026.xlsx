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AL Sep-26" sheetId="1" state="visible" r:id="rId3"/>
    <sheet name="Spend by Campaign" sheetId="2" state="visible" r:id="rId4"/>
    <sheet name="Sources &amp; Checks" sheetId="3" state="visible" r:id="rId5"/>
  </sheets>
  <definedNames>
    <definedName function="false" hidden="false" localSheetId="0" name="_xlnm.Print_Titles" vbProcedure="false">'GAL Sep-26'!$A:$A,'GAL Sep-26'!$4:$5</definedName>
    <definedName function="false" hidden="false" localSheetId="0" name="_xlnm.Print_Titles" vbProcedure="false">'GAL Sep-26'!$4:$5,'GAL Sep-26'!$A:$A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<sst xmlns="http://schemas.openxmlformats.org/spreadsheetml/2006/main" count="138" uniqueCount="118">
  <si>
    <t xml:space="preserve">Longevity Life Academy — GAL Board Report · September 2026</t>
  </si>
  <si>
    <t xml:space="preserve">PINK rows = weeks 1–2 (1–11.9) exactly as already reported, not touched.  Weeks 3–5 (14–28.9) completed from By-Day pivot 38 (BI fields A–U) + Meta Ads spend &amp; e-commerce results by campaign type (Ads API, account 1459085242361281, daily, USD).  Masterclass campaign not included in spend.</t>
  </si>
  <si>
    <t xml:space="preserve">BOARD FIELDS (weeks 1–2 as reported · weeks 3–5 from By-Day pivot 38)</t>
  </si>
  <si>
    <t xml:space="preserve">META SPEND — LEAD-GEN CAMPAIGNS (Leads #117186 · LLA/ATC #116622)</t>
  </si>
  <si>
    <t xml:space="preserve">META SPEND &amp; RESULTS — E-COMMERCE BLUEPRINT (ecomm-01 #118148 · ecomm-02 #118149)</t>
  </si>
  <si>
    <t xml:space="preserve">TOTAL</t>
  </si>
  <si>
    <t xml:space="preserve">Days in Date</t>
  </si>
  <si>
    <t xml:space="preserve">Leads</t>
  </si>
  <si>
    <t xml:space="preserve">Acqs</t>
  </si>
  <si>
    <t xml:space="preserve">Regs</t>
  </si>
  <si>
    <t xml:space="preserve">Ratio</t>
  </si>
  <si>
    <t xml:space="preserve">Cont from Lds</t>
  </si>
  <si>
    <t xml:space="preserve">%Cont from Lds</t>
  </si>
  <si>
    <t xml:space="preserve">Cont</t>
  </si>
  <si>
    <t xml:space="preserve">Cont%</t>
  </si>
  <si>
    <t xml:space="preserve">Phone Comm</t>
  </si>
  <si>
    <t xml:space="preserve">% Phone Comm</t>
  </si>
  <si>
    <t xml:space="preserve">% Acqs/Leads</t>
  </si>
  <si>
    <t xml:space="preserve">% Acqs/Cont</t>
  </si>
  <si>
    <t xml:space="preserve">% Regs/Cont</t>
  </si>
  <si>
    <t xml:space="preserve">Calls</t>
  </si>
  <si>
    <t xml:space="preserve">Calls per Lead</t>
  </si>
  <si>
    <t xml:space="preserve">%Cont/Calls</t>
  </si>
  <si>
    <t xml:space="preserve">Retries</t>
  </si>
  <si>
    <t xml:space="preserve">Retries per Lead</t>
  </si>
  <si>
    <t xml:space="preserve">Contract Price</t>
  </si>
  <si>
    <t xml:space="preserve">SOV</t>
  </si>
  <si>
    <t xml:space="preserve">Spend Leads camp. (USD)</t>
  </si>
  <si>
    <t xml:space="preserve">Spend LLA/ATC camp. (USD)</t>
  </si>
  <si>
    <t xml:space="preserve">Lead-gen Spend (USD)</t>
  </si>
  <si>
    <t xml:space="preserve">CPL (USD)</t>
  </si>
  <si>
    <t xml:space="preserve">Cost / Acq (USD)</t>
  </si>
  <si>
    <t xml:space="preserve">Cost / Cont (USD)</t>
  </si>
  <si>
    <t xml:space="preserve">E-comm Spend (USD)</t>
  </si>
  <si>
    <t xml:space="preserve">E-comm Adds to Cart</t>
  </si>
  <si>
    <t xml:space="preserve">E-comm Checkouts</t>
  </si>
  <si>
    <t xml:space="preserve">E-comm Purchases</t>
  </si>
  <si>
    <t xml:space="preserve">E-comm Revenue (USD)</t>
  </si>
  <si>
    <t xml:space="preserve">Cost / ATC (USD)</t>
  </si>
  <si>
    <t xml:space="preserve">Cost / Purchase (USD)</t>
  </si>
  <si>
    <t xml:space="preserve">ROAS</t>
  </si>
  <si>
    <t xml:space="preserve">TOTAL Meta Spend (USD)</t>
  </si>
  <si>
    <t xml:space="preserve">Blended Cost / Acq (USD)</t>
  </si>
  <si>
    <t xml:space="preserve">BI cont. denom (helper)</t>
  </si>
  <si>
    <t xml:space="preserve">Week 1 · 1–6.9   ·   ALREADY REPORTED — NOT TOUCHED</t>
  </si>
  <si>
    <t xml:space="preserve">Week 1 · 1–6.9 · total (computed from reported days)</t>
  </si>
  <si>
    <t xml:space="preserve">Week 2 · 7–13.9   ·   ALREADY REPORTED — NOT TOUCHED</t>
  </si>
  <si>
    <t xml:space="preserve">Week 2 · 7–13.9 · total (computed from reported days)</t>
  </si>
  <si>
    <t xml:space="preserve">Week 3 · 14–20.9   ·   COMPLETED IN THIS UPDATE (results + Meta spend)</t>
  </si>
  <si>
    <t xml:space="preserve">Sat–Sun 19–20.9 (spend only)</t>
  </si>
  <si>
    <t xml:space="preserve">Week 3 · 14–20.9 · total</t>
  </si>
  <si>
    <t xml:space="preserve">Week 4 · 21–27.9   ·   COMPLETED IN THIS UPDATE (results + Meta spend)</t>
  </si>
  <si>
    <t xml:space="preserve">Sat–Sun 26–27.9 (spend only)</t>
  </si>
  <si>
    <t xml:space="preserve">Week 4 · 21–27.9 · total</t>
  </si>
  <si>
    <t xml:space="preserve">Week 5 · 28.9 (to date)   ·   COMPLETED IN THIS UPDATE (results + Meta spend)</t>
  </si>
  <si>
    <t xml:space="preserve">Week 5 · 28.9 (to date) · total</t>
  </si>
  <si>
    <t xml:space="preserve">WEEKS 1–2 · 1–11.9 · as reported (no spend reported)</t>
  </si>
  <si>
    <t xml:space="preserve">E-COMM WEEKS 3–5 · 14–28.9 · results + Meta spend</t>
  </si>
  <si>
    <t xml:space="preserve">GRAND TOTAL · SEPTEMBER 2026 (spend = 14–28.9 only)</t>
  </si>
  <si>
    <t xml:space="preserve">n/a</t>
  </si>
  <si>
    <t xml:space="preserve">Control · BI pivot Grand Total (as exported)</t>
  </si>
  <si>
    <t xml:space="preserve">Check · Grand Total − BI control (must be 0)</t>
  </si>
  <si>
    <t xml:space="preserve">Meta Spend by Campaign × Week — 14–28.9.2026 (USD)</t>
  </si>
  <si>
    <t xml:space="preserve">Source: Meta Ads API daily pull (account 1459085242361281). Weeks are Mon–Sun incl. weekend spend. Weeks 1–2 are not restated. ecomm-02 relaunched 24.9, first spend 28.9. Masterclass excluded.</t>
  </si>
  <si>
    <t xml:space="preserve">Type</t>
  </si>
  <si>
    <t xml:space="preserve">Campaign</t>
  </si>
  <si>
    <t xml:space="preserve">Week 3
14–20.9</t>
  </si>
  <si>
    <t xml:space="preserve">Week 4
21–27.9</t>
  </si>
  <si>
    <t xml:space="preserve">Week 5
28.9</t>
  </si>
  <si>
    <t xml:space="preserve">TOTAL
14–28.9</t>
  </si>
  <si>
    <t xml:space="preserve">Lead-gen</t>
  </si>
  <si>
    <t xml:space="preserve">Leads campaign · FB Leads #117186</t>
  </si>
  <si>
    <t xml:space="preserve">LLA / Adds-to-cart (leads) campaign · #116622</t>
  </si>
  <si>
    <t xml:space="preserve">E-commerce</t>
  </si>
  <si>
    <t xml:space="preserve">Blueprint e-comm · ecomm-01 #118148</t>
  </si>
  <si>
    <t xml:space="preserve">Blueprint e-comm · ecomm-02 #118149</t>
  </si>
  <si>
    <t xml:space="preserve">Lead-gen spend</t>
  </si>
  <si>
    <t xml:space="preserve">E-commerce spend</t>
  </si>
  <si>
    <t xml:space="preserve">TOTAL META SPEND</t>
  </si>
  <si>
    <t xml:space="preserve">E-comm share of spend</t>
  </si>
  <si>
    <t xml:space="preserve">E-commerce Blueprint results (Meta-attributed, ecomm-01 + ecomm-02)</t>
  </si>
  <si>
    <t xml:space="preserve">Metric</t>
  </si>
  <si>
    <t xml:space="preserve">Spend (USD)</t>
  </si>
  <si>
    <t xml:space="preserve">Adds to cart</t>
  </si>
  <si>
    <t xml:space="preserve">Checkouts initiated</t>
  </si>
  <si>
    <t xml:space="preserve">Purchases</t>
  </si>
  <si>
    <t xml:space="preserve">Revenue (USD)</t>
  </si>
  <si>
    <t xml:space="preserve">Cost / Add to cart (USD)</t>
  </si>
  <si>
    <t xml:space="preserve">Cost / Checkout (USD)</t>
  </si>
  <si>
    <t xml:space="preserve">Lead-gen efficiency (BI results ÷ lead-gen Meta spend)</t>
  </si>
  <si>
    <t xml:space="preserve">Leads (BI)</t>
  </si>
  <si>
    <t xml:space="preserve">Acqs (BI)</t>
  </si>
  <si>
    <t xml:space="preserve">Cont (BI)</t>
  </si>
  <si>
    <t xml:space="preserve">Contract Price (BI)</t>
  </si>
  <si>
    <t xml:space="preserve">Blended Cost / Acq (total Meta spend ÷ BI Acqs)</t>
  </si>
  <si>
    <t xml:space="preserve">Note: BI reports business days only; Meta spend includes weekends. Blueprint purchases are Meta-attributed pixel events and are not reconciled to settled payments.</t>
  </si>
  <si>
    <t xml:space="preserve">Sources, definitions &amp; reconciliation</t>
  </si>
  <si>
    <t xml:space="preserve">Board fields (cols A–U)</t>
  </si>
  <si>
    <t xml:space="preserve">Weeks 1–2 (1–11.9) left exactly as in the uploaded GAL file. Weeks 3–5 (14–28.9) filled from By-Day-pivot-38.xlsx · sheet "pivot" · copied 1:1, no field renamed, reordered or recalculated. Weekly/period totals use sums for counts and ratio-of-sums for rates (same method as the BI Grand Total; % Regs/Cont and %Cont/Calls use the BI contact denominator implied by the pivot).</t>
  </si>
  <si>
    <t xml:space="preserve">Meta spend &amp; e-comm results</t>
  </si>
  <si>
    <t xml:space="preserve">Meta Ads API, ad account 1459085242361281 (Longevity Life Academy · ETeacher Group), campaign level, daily (time_increment=1), 1–28.9.2026, USD, pulled 28.9.2026 12:00 IDT. 28.9 is a partial day.</t>
  </si>
  <si>
    <t xml:space="preserve">Campaign mapping</t>
  </si>
  <si>
    <t xml:space="preserve">Leads = LGV_EN_FB_Demographics_FB Leads_2026-08-03_#117186 · LLA/Adds-to-cart (leads) = LGV_EN_FB_Demographics_Longevity Life Academy_2026-05-04_#116622 · E-commerce Blueprint = LGV_EN_PPC_ecomm-01_2026-09-02_#118148 (first spend 3.9) + LGV_EN_PPC_ecomm-02_2026-09-02_#118149 (relaunched 24.9, first spend 28.9). Two inactive campaigns had $0 spend. Masterclass campaign: not included.</t>
  </si>
  <si>
    <t xml:space="preserve">Period split</t>
  </si>
  <si>
    <t xml:space="preserve">Weeks 1–2 = as previously reported (results only, no spend added). Weeks 3–5 = completed with results + Meta spend, split lead-gen vs e-commerce Blueprint. Weeks = Mon–Sun; weekend spend on separate "Sat–Sun (spend only)" rows so weekly spend reconciles exactly to Ads Manager. Note: Ads Manager shows Blueprint (ecomm-01) spend from 3.9.2026; per instruction weeks 1–2 were not restated.</t>
  </si>
  <si>
    <t xml:space="preserve">Test exclusion</t>
  </si>
  <si>
    <t xml:space="preserve">ecomm-02 contains two TEST ad sets created 28.9 (controlled-purchase, TLV) with $0 spend and 0 results — nothing from them is in this file.</t>
  </si>
  <si>
    <t xml:space="preserve">Not verified</t>
  </si>
  <si>
    <t xml:space="preserve">Blueprint purchases (3 × $179, on 10/13/16.9) are Meta-attributed pixel events, not reconciled to settled payments. BI weekend leads are not in the pivot; Meta shows leads on weekends, so CPL is computed on business-day leads only.</t>
  </si>
  <si>
    <t xml:space="preserve">Reconciliation · Meta API daily pull vs uploaded Ads Manager CSV (7–28.9.2026)</t>
  </si>
  <si>
    <t xml:space="preserve">API daily sum (USD)</t>
  </si>
  <si>
    <t xml:space="preserve">Ads Manager CSV (USD)</t>
  </si>
  <si>
    <t xml:space="preserve">Δ (USD)</t>
  </si>
  <si>
    <t xml:space="preserve">Leads #117186</t>
  </si>
  <si>
    <t xml:space="preserve">LLA/ATC #116622</t>
  </si>
  <si>
    <t xml:space="preserve">ecomm-01 #118148</t>
  </si>
  <si>
    <t xml:space="preserve">ecomm-02 #118149</t>
  </si>
  <si>
    <t xml:space="preserve">Δ within ±$1 = live-day drift between the CSV export time and the API pull (ecomm-01/-02 still delivering).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</si>
</sst>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d\.m\.yyyy"/>
    <numFmt numFmtId="166" formatCode="0"/>
    <numFmt numFmtId="167" formatCode="#,##0"/>
    <numFmt numFmtId="168" formatCode="0%;\-0%;\–"/>
    <numFmt numFmtId="169" formatCode="0.0%;\-0.0%;\–"/>
    <numFmt numFmtId="170" formatCode="0.0;\-0.0;\–"/>
    <numFmt numFmtId="171" formatCode="#,##0.0;\-#,##0.0;0"/>
    <numFmt numFmtId="172" formatCode="#,##0;\-#,##0;\–"/>
    <numFmt numFmtId="173" formatCode="#,##0.0;\-#,##0.0;\–"/>
    <numFmt numFmtId="174" formatCode="0.00;\-0.00;\–"/>
    <numFmt numFmtId="175" formatCode="0%"/>
    <numFmt numFmtId="176" formatCode="0.0%"/>
    <numFmt numFmtId="177" formatCode="0.0"/>
    <numFmt numFmtId="178" formatCode="0.00;[RED]\-0.00"/>
    <numFmt numFmtId="179" formatCode="#,##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0B1F3A"/>
      <name val="Calibri"/>
      <family val="0"/>
      <charset val="1"/>
    </font>
    <font>
      <i val="true"/>
      <sz val="18"/>
      <color rgb="FF4B556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sz val="16"/>
      <color rgb="FF4B5563"/>
      <name val="Calibri"/>
      <family val="0"/>
      <charset val="1"/>
    </font>
    <font>
      <b val="true"/>
      <sz val="21"/>
      <color rgb="FFAD1457"/>
      <name val="Calibri"/>
      <family val="0"/>
      <charset val="1"/>
    </font>
    <font>
      <b val="true"/>
      <sz val="18"/>
      <color rgb="FFAD1457"/>
      <name val="Calibri"/>
      <family val="0"/>
      <charset val="1"/>
    </font>
    <font>
      <sz val="18"/>
      <color rgb="FFAD1457"/>
      <name val="Calibri"/>
      <family val="0"/>
      <charset val="1"/>
    </font>
    <font>
      <sz val="18"/>
      <color rgb="FF1F2937"/>
      <name val="Calibri"/>
      <family val="0"/>
      <charset val="1"/>
    </font>
    <font>
      <b val="true"/>
      <sz val="21"/>
      <color rgb="FFFFFFFF"/>
      <name val="Calibri"/>
      <family val="0"/>
      <charset val="1"/>
    </font>
    <font>
      <b val="true"/>
      <sz val="18"/>
      <color rgb="FF1F2937"/>
      <name val="Calibri"/>
      <family val="0"/>
      <charset val="1"/>
    </font>
    <font>
      <b val="true"/>
      <sz val="18"/>
      <color rgb="FF0B1F3A"/>
      <name val="Calibri"/>
      <family val="0"/>
      <charset val="1"/>
    </font>
    <font>
      <i val="true"/>
      <sz val="17"/>
      <color rgb="FF4B5563"/>
      <name val="Calibri"/>
      <family val="0"/>
      <charset val="1"/>
    </font>
    <font>
      <b val="true"/>
      <sz val="18"/>
      <color rgb="FFB45309"/>
      <name val="Calibri"/>
      <family val="0"/>
      <charset val="1"/>
    </font>
    <font>
      <b val="true"/>
      <sz val="18"/>
      <color rgb="FF6D28D9"/>
      <name val="Calibri"/>
      <family val="0"/>
      <charset val="1"/>
    </font>
    <font>
      <b val="true"/>
      <sz val="24"/>
      <color rgb="FF0B1F3A"/>
      <name val="Calibri"/>
      <family val="0"/>
      <charset val="1"/>
    </font>
    <font>
      <b val="true"/>
      <sz val="18"/>
      <color rgb="FF0E7C86"/>
      <name val="Calibri"/>
      <family val="0"/>
      <charset val="1"/>
    </font>
    <font>
      <b val="true"/>
      <sz val="19"/>
      <color rgb="FF6D28D9"/>
      <name val="Calibri"/>
      <family val="0"/>
      <charset val="1"/>
    </font>
    <font>
      <b val="true"/>
      <sz val="19"/>
      <color rgb="FF0E7C86"/>
      <name val="Calibri"/>
      <family val="0"/>
      <charset val="1"/>
    </font>
    <font>
      <b val="true"/>
      <sz val="19"/>
      <color rgb="FF0B1F3A"/>
      <name val="Calibri"/>
      <family val="0"/>
      <charset val="1"/>
    </font>
    <font>
      <sz val="18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B1F3A"/>
        <bgColor rgb="FF1F2937"/>
      </patternFill>
    </fill>
    <fill>
      <patternFill patternType="solid">
        <fgColor rgb="FF0E7C86"/>
        <bgColor rgb="FF008080"/>
      </patternFill>
    </fill>
    <fill>
      <patternFill patternType="solid">
        <fgColor rgb="FF6D28D9"/>
        <bgColor rgb="FF800080"/>
      </patternFill>
    </fill>
    <fill>
      <patternFill patternType="solid">
        <fgColor rgb="FF1F2937"/>
        <bgColor rgb="FF0B1F3A"/>
      </patternFill>
    </fill>
    <fill>
      <patternFill patternType="solid">
        <fgColor rgb="FFFCE4EC"/>
        <bgColor rgb="FFEFE9FC"/>
      </patternFill>
    </fill>
    <fill>
      <patternFill patternType="solid">
        <fgColor rgb="FFE3F4F5"/>
        <bgColor rgb="FFE6F4EC"/>
      </patternFill>
    </fill>
    <fill>
      <patternFill patternType="solid">
        <fgColor rgb="FFEFE9FC"/>
        <bgColor rgb="FFE8EDF5"/>
      </patternFill>
    </fill>
    <fill>
      <patternFill patternType="solid">
        <fgColor rgb="FFE8EDF5"/>
        <bgColor rgb="FFEFE9FC"/>
      </patternFill>
    </fill>
    <fill>
      <patternFill patternType="solid">
        <fgColor rgb="FFF3F5F9"/>
        <bgColor rgb="FFE6F4EC"/>
      </patternFill>
    </fill>
    <fill>
      <patternFill patternType="solid">
        <fgColor rgb="FFFDF3E1"/>
        <bgColor rgb="FFF3F5F9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B1F3A"/>
      </bottom>
      <diagonal/>
    </border>
    <border diagonalUp="false" diagonalDown="false">
      <left/>
      <right/>
      <top style="medium">
        <color rgb="FF0B1F3A"/>
      </top>
      <bottom/>
      <diagonal/>
    </border>
    <border diagonalUp="false" diagonalDown="false">
      <left/>
      <right/>
      <top/>
      <bottom style="hair">
        <color rgb="FFD6DBE3"/>
      </bottom>
      <diagonal/>
    </border>
    <border diagonalUp="false" diagonalDown="false">
      <left/>
      <right/>
      <top style="thin">
        <color rgb="FFD6DBE3"/>
      </top>
      <bottom style="thin">
        <color rgb="FFD6DBE3"/>
      </bottom>
      <diagonal/>
    </border>
    <border diagonalUp="false" diagonalDown="false">
      <left/>
      <right/>
      <top style="medium">
        <color rgb="FF0B1F3A"/>
      </top>
      <bottom style="medium">
        <color rgb="FF0B1F3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6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6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0F6E3D"/>
      </font>
      <fill>
        <patternFill>
          <bgColor rgb="FFE6F4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F6E3D"/>
      <rgbColor rgb="FF000080"/>
      <rgbColor rgb="FF808000"/>
      <rgbColor rgb="FF800080"/>
      <rgbColor rgb="FF0E7C86"/>
      <rgbColor rgb="FFEFE9FC"/>
      <rgbColor rgb="FF808080"/>
      <rgbColor rgb="FF9999FF"/>
      <rgbColor rgb="FFAD1457"/>
      <rgbColor rgb="FFFDF3E1"/>
      <rgbColor rgb="FFE3F4F5"/>
      <rgbColor rgb="FF660066"/>
      <rgbColor rgb="FFFF8080"/>
      <rgbColor rgb="FF0066CC"/>
      <rgbColor rgb="FFD6DB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4EC"/>
      <rgbColor rgb="FFE8EDF5"/>
      <rgbColor rgb="FFF3F5F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B1F3A"/>
      <rgbColor rgb="FF339966"/>
      <rgbColor rgb="FF003300"/>
      <rgbColor rgb="FF333300"/>
      <rgbColor rgb="FFB45309"/>
      <rgbColor rgb="FF993366"/>
      <rgbColor rgb="FF6D28D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A1:AP44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30" customHeight="false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3"/>
    <col collapsed="false" customWidth="true" hidden="false" outlineLevel="0" max="5" min="3" style="0" width="1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10" min="9" style="0" width="13"/>
    <col collapsed="false" customWidth="true" hidden="false" outlineLevel="0" max="11" min="11" style="0" width="14"/>
    <col collapsed="false" customWidth="true" hidden="false" outlineLevel="0" max="14" min="12" style="0" width="17"/>
    <col collapsed="false" customWidth="true" hidden="false" outlineLevel="0" max="15" min="15" style="0" width="13"/>
    <col collapsed="false" customWidth="true" hidden="false" outlineLevel="0" max="19" min="16" style="0" width="14"/>
    <col collapsed="false" customWidth="true" hidden="false" outlineLevel="0" max="21" min="20" style="0" width="15"/>
    <col collapsed="false" customWidth="true" hidden="false" outlineLevel="0" max="22" min="22" style="0" width="2"/>
    <col collapsed="false" customWidth="true" hidden="false" outlineLevel="0" max="28" min="23" style="0" width="18"/>
    <col collapsed="false" customWidth="true" hidden="false" outlineLevel="0" max="29" min="29" style="0" width="2"/>
    <col collapsed="false" customWidth="true" hidden="false" outlineLevel="0" max="37" min="30" style="0" width="18"/>
    <col collapsed="false" customWidth="true" hidden="false" outlineLevel="0" max="38" min="38" style="0" width="2"/>
    <col collapsed="false" customWidth="true" hidden="false" outlineLevel="0" max="40" min="39" style="0" width="18"/>
    <col collapsed="false" customWidth="true" hidden="false" outlineLevel="0" max="41" min="41" style="0" width="2"/>
    <col collapsed="false" customWidth="true" hidden="true" outlineLevel="0" max="42" min="42" style="0" width="13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customFormat="false" ht="5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4" customFormat="false" ht="33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W4" s="4" t="s">
        <v>3</v>
      </c>
      <c r="X4" s="4"/>
      <c r="Y4" s="4"/>
      <c r="Z4" s="4"/>
      <c r="AA4" s="4"/>
      <c r="AB4" s="4"/>
      <c r="AD4" s="5" t="s">
        <v>4</v>
      </c>
      <c r="AE4" s="5"/>
      <c r="AF4" s="5"/>
      <c r="AG4" s="5"/>
      <c r="AH4" s="5"/>
      <c r="AI4" s="5"/>
      <c r="AJ4" s="5"/>
      <c r="AK4" s="5"/>
      <c r="AM4" s="3" t="s">
        <v>5</v>
      </c>
      <c r="AN4" s="3"/>
    </row>
    <row r="5" customFormat="false" ht="84" hidden="false" customHeight="true" outlineLevel="0" collapsed="false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  <c r="J5" s="6" t="s">
        <v>15</v>
      </c>
      <c r="K5" s="6" t="s">
        <v>16</v>
      </c>
      <c r="L5" s="6" t="s">
        <v>17</v>
      </c>
      <c r="M5" s="6" t="s">
        <v>18</v>
      </c>
      <c r="N5" s="6" t="s">
        <v>19</v>
      </c>
      <c r="O5" s="6" t="s">
        <v>20</v>
      </c>
      <c r="P5" s="6" t="s">
        <v>21</v>
      </c>
      <c r="Q5" s="6" t="s">
        <v>22</v>
      </c>
      <c r="R5" s="6" t="s">
        <v>23</v>
      </c>
      <c r="S5" s="6" t="s">
        <v>24</v>
      </c>
      <c r="T5" s="6" t="s">
        <v>25</v>
      </c>
      <c r="U5" s="6" t="s">
        <v>26</v>
      </c>
      <c r="W5" s="7" t="s">
        <v>27</v>
      </c>
      <c r="X5" s="7" t="s">
        <v>28</v>
      </c>
      <c r="Y5" s="7" t="s">
        <v>29</v>
      </c>
      <c r="Z5" s="7" t="s">
        <v>30</v>
      </c>
      <c r="AA5" s="7" t="s">
        <v>31</v>
      </c>
      <c r="AB5" s="7" t="s">
        <v>32</v>
      </c>
      <c r="AD5" s="8" t="s">
        <v>33</v>
      </c>
      <c r="AE5" s="8" t="s">
        <v>34</v>
      </c>
      <c r="AF5" s="8" t="s">
        <v>35</v>
      </c>
      <c r="AG5" s="8" t="s">
        <v>36</v>
      </c>
      <c r="AH5" s="8" t="s">
        <v>37</v>
      </c>
      <c r="AI5" s="8" t="s">
        <v>38</v>
      </c>
      <c r="AJ5" s="8" t="s">
        <v>39</v>
      </c>
      <c r="AK5" s="8" t="s">
        <v>40</v>
      </c>
      <c r="AM5" s="9" t="s">
        <v>41</v>
      </c>
      <c r="AN5" s="9" t="s">
        <v>42</v>
      </c>
      <c r="AP5" s="10" t="s">
        <v>43</v>
      </c>
    </row>
    <row r="6" customFormat="false" ht="30" hidden="false" customHeight="true" outlineLevel="0" collapsed="false">
      <c r="A6" s="11" t="s">
        <v>44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P6" s="12"/>
    </row>
    <row r="7" customFormat="false" ht="30" hidden="false" customHeight="true" outlineLevel="0" collapsed="false">
      <c r="A7" s="13" t="n">
        <v>46266</v>
      </c>
      <c r="B7" s="14" t="n">
        <v>104</v>
      </c>
      <c r="C7" s="14"/>
      <c r="D7" s="14"/>
      <c r="E7" s="15"/>
      <c r="F7" s="14" t="n">
        <v>27</v>
      </c>
      <c r="G7" s="16" t="n">
        <v>0.259615384615385</v>
      </c>
      <c r="H7" s="14" t="n">
        <v>18</v>
      </c>
      <c r="I7" s="16" t="n">
        <v>0.173076923076923</v>
      </c>
      <c r="J7" s="14" t="n">
        <v>34</v>
      </c>
      <c r="K7" s="16" t="n">
        <v>0.326923076923077</v>
      </c>
      <c r="L7" s="16" t="n">
        <v>0</v>
      </c>
      <c r="M7" s="16" t="n">
        <v>0</v>
      </c>
      <c r="N7" s="16" t="n">
        <v>0</v>
      </c>
      <c r="O7" s="14" t="n">
        <v>659</v>
      </c>
      <c r="P7" s="17" t="n">
        <v>6.33653846153846</v>
      </c>
      <c r="Q7" s="16" t="n">
        <v>0.0303490136570561</v>
      </c>
      <c r="R7" s="14" t="n">
        <v>614</v>
      </c>
      <c r="S7" s="17" t="n">
        <v>5.90384615384615</v>
      </c>
      <c r="T7" s="18" t="n">
        <v>0</v>
      </c>
      <c r="U7" s="18" t="n">
        <v>0</v>
      </c>
      <c r="V7" s="19"/>
      <c r="W7" s="20"/>
      <c r="X7" s="21"/>
      <c r="Y7" s="20"/>
      <c r="Z7" s="22"/>
      <c r="AA7" s="21"/>
      <c r="AB7" s="22"/>
      <c r="AC7" s="19"/>
      <c r="AD7" s="21"/>
      <c r="AE7" s="21"/>
      <c r="AF7" s="21"/>
      <c r="AG7" s="21"/>
      <c r="AH7" s="21"/>
      <c r="AI7" s="22"/>
      <c r="AJ7" s="21"/>
      <c r="AK7" s="23"/>
      <c r="AL7" s="19"/>
      <c r="AM7" s="20"/>
      <c r="AN7" s="21"/>
      <c r="AP7" s="12" t="n">
        <v>20</v>
      </c>
    </row>
    <row r="8" customFormat="false" ht="30" hidden="false" customHeight="true" outlineLevel="0" collapsed="false">
      <c r="A8" s="13" t="n">
        <v>46267</v>
      </c>
      <c r="B8" s="14" t="n">
        <v>49</v>
      </c>
      <c r="C8" s="14" t="n">
        <v>1</v>
      </c>
      <c r="D8" s="14" t="n">
        <v>1</v>
      </c>
      <c r="E8" s="15" t="n">
        <v>1</v>
      </c>
      <c r="F8" s="14" t="n">
        <v>39</v>
      </c>
      <c r="G8" s="16" t="n">
        <v>0.795918367346939</v>
      </c>
      <c r="H8" s="14" t="n">
        <v>29</v>
      </c>
      <c r="I8" s="16" t="n">
        <v>0.591836734693878</v>
      </c>
      <c r="J8" s="14" t="n">
        <v>55</v>
      </c>
      <c r="K8" s="16" t="n">
        <v>1.12244897959184</v>
      </c>
      <c r="L8" s="16" t="n">
        <v>0.0204081632653061</v>
      </c>
      <c r="M8" s="16" t="n">
        <v>0.0344827586206897</v>
      </c>
      <c r="N8" s="16" t="n">
        <v>0.0217391304347826</v>
      </c>
      <c r="O8" s="14" t="n">
        <v>615</v>
      </c>
      <c r="P8" s="17" t="n">
        <v>12.5510204081633</v>
      </c>
      <c r="Q8" s="16" t="n">
        <v>0.0747967479674797</v>
      </c>
      <c r="R8" s="14" t="n">
        <v>576</v>
      </c>
      <c r="S8" s="17" t="n">
        <v>11.7551020408163</v>
      </c>
      <c r="T8" s="18" t="n">
        <v>979.3</v>
      </c>
      <c r="U8" s="18" t="n">
        <v>783.44</v>
      </c>
      <c r="V8" s="19"/>
      <c r="W8" s="20"/>
      <c r="X8" s="21"/>
      <c r="Y8" s="20"/>
      <c r="Z8" s="22"/>
      <c r="AA8" s="21"/>
      <c r="AB8" s="22"/>
      <c r="AC8" s="19"/>
      <c r="AD8" s="21"/>
      <c r="AE8" s="21"/>
      <c r="AF8" s="21"/>
      <c r="AG8" s="21"/>
      <c r="AH8" s="21"/>
      <c r="AI8" s="22"/>
      <c r="AJ8" s="21"/>
      <c r="AK8" s="23"/>
      <c r="AL8" s="19"/>
      <c r="AM8" s="20"/>
      <c r="AN8" s="21"/>
      <c r="AP8" s="12" t="n">
        <v>46</v>
      </c>
    </row>
    <row r="9" customFormat="false" ht="30" hidden="false" customHeight="true" outlineLevel="0" collapsed="false">
      <c r="A9" s="13" t="n">
        <v>46268</v>
      </c>
      <c r="B9" s="14" t="n">
        <v>35</v>
      </c>
      <c r="C9" s="14"/>
      <c r="D9" s="14"/>
      <c r="E9" s="15"/>
      <c r="F9" s="14" t="n">
        <v>12</v>
      </c>
      <c r="G9" s="16" t="n">
        <v>0.342857142857143</v>
      </c>
      <c r="H9" s="14" t="n">
        <v>16</v>
      </c>
      <c r="I9" s="16" t="n">
        <v>0.457142857142857</v>
      </c>
      <c r="J9" s="14" t="n">
        <v>30</v>
      </c>
      <c r="K9" s="16" t="n">
        <v>0.857142857142857</v>
      </c>
      <c r="L9" s="16" t="n">
        <v>0</v>
      </c>
      <c r="M9" s="16" t="n">
        <v>0</v>
      </c>
      <c r="N9" s="16" t="n">
        <v>0</v>
      </c>
      <c r="O9" s="14" t="n">
        <v>779</v>
      </c>
      <c r="P9" s="17" t="n">
        <v>22.2571428571429</v>
      </c>
      <c r="Q9" s="16" t="n">
        <v>0.0256739409499358</v>
      </c>
      <c r="R9" s="14" t="n">
        <v>743</v>
      </c>
      <c r="S9" s="17" t="n">
        <v>21.2285714285714</v>
      </c>
      <c r="T9" s="18" t="n">
        <v>0</v>
      </c>
      <c r="U9" s="18" t="n">
        <v>0</v>
      </c>
      <c r="V9" s="19"/>
      <c r="W9" s="20"/>
      <c r="X9" s="21"/>
      <c r="Y9" s="20"/>
      <c r="Z9" s="22"/>
      <c r="AA9" s="21"/>
      <c r="AB9" s="22"/>
      <c r="AC9" s="19"/>
      <c r="AD9" s="21"/>
      <c r="AE9" s="21"/>
      <c r="AF9" s="21"/>
      <c r="AG9" s="21"/>
      <c r="AH9" s="21"/>
      <c r="AI9" s="22"/>
      <c r="AJ9" s="21"/>
      <c r="AK9" s="23"/>
      <c r="AL9" s="19"/>
      <c r="AM9" s="20"/>
      <c r="AN9" s="21"/>
      <c r="AP9" s="12" t="n">
        <v>20</v>
      </c>
    </row>
    <row r="10" customFormat="false" ht="30" hidden="false" customHeight="true" outlineLevel="0" collapsed="false">
      <c r="A10" s="13" t="n">
        <v>46269</v>
      </c>
      <c r="B10" s="14" t="n">
        <v>43</v>
      </c>
      <c r="C10" s="14" t="n">
        <v>1</v>
      </c>
      <c r="D10" s="14" t="n">
        <v>1</v>
      </c>
      <c r="E10" s="15" t="n">
        <v>1</v>
      </c>
      <c r="F10" s="14" t="n">
        <v>11</v>
      </c>
      <c r="G10" s="16" t="n">
        <v>0.255813953488372</v>
      </c>
      <c r="H10" s="14" t="n">
        <v>20</v>
      </c>
      <c r="I10" s="16" t="n">
        <v>0.465116279069767</v>
      </c>
      <c r="J10" s="14" t="n">
        <v>27</v>
      </c>
      <c r="K10" s="16" t="n">
        <v>0.627906976744186</v>
      </c>
      <c r="L10" s="16" t="n">
        <v>0.0232558139534884</v>
      </c>
      <c r="M10" s="16" t="n">
        <v>0.05</v>
      </c>
      <c r="N10" s="16" t="n">
        <v>0.05</v>
      </c>
      <c r="O10" s="14" t="n">
        <v>516</v>
      </c>
      <c r="P10" s="17" t="n">
        <v>12</v>
      </c>
      <c r="Q10" s="16" t="n">
        <v>0.0387596899224806</v>
      </c>
      <c r="R10" s="14" t="n">
        <v>485</v>
      </c>
      <c r="S10" s="17" t="n">
        <v>11.2790697674419</v>
      </c>
      <c r="T10" s="18" t="n">
        <v>1399</v>
      </c>
      <c r="U10" s="18" t="n">
        <v>1119.2</v>
      </c>
      <c r="V10" s="19"/>
      <c r="W10" s="20"/>
      <c r="X10" s="21"/>
      <c r="Y10" s="20"/>
      <c r="Z10" s="22"/>
      <c r="AA10" s="21"/>
      <c r="AB10" s="22"/>
      <c r="AC10" s="19"/>
      <c r="AD10" s="21"/>
      <c r="AE10" s="21"/>
      <c r="AF10" s="21"/>
      <c r="AG10" s="21"/>
      <c r="AH10" s="21"/>
      <c r="AI10" s="22"/>
      <c r="AJ10" s="21"/>
      <c r="AK10" s="23"/>
      <c r="AL10" s="19"/>
      <c r="AM10" s="20"/>
      <c r="AN10" s="21"/>
      <c r="AP10" s="12" t="n">
        <v>20</v>
      </c>
    </row>
    <row r="11" customFormat="false" ht="30" hidden="false" customHeight="true" outlineLevel="0" collapsed="false">
      <c r="A11" s="24" t="s">
        <v>45</v>
      </c>
      <c r="B11" s="25" t="n">
        <f aca="false">SUM(B7:B10)</f>
        <v>231</v>
      </c>
      <c r="C11" s="25" t="n">
        <f aca="false">SUM(C7:C10)</f>
        <v>2</v>
      </c>
      <c r="D11" s="25" t="n">
        <f aca="false">SUM(D7:D10)</f>
        <v>2</v>
      </c>
      <c r="E11" s="26" t="n">
        <f aca="false">IF(C11=0,0,D11/C11)</f>
        <v>1</v>
      </c>
      <c r="F11" s="25" t="n">
        <f aca="false">SUM(F7:F10)</f>
        <v>89</v>
      </c>
      <c r="G11" s="27" t="n">
        <f aca="false">IF(B11=0,0,F11/B11)</f>
        <v>0.385281385281385</v>
      </c>
      <c r="H11" s="25" t="n">
        <f aca="false">SUM(H7:H10)</f>
        <v>83</v>
      </c>
      <c r="I11" s="27" t="n">
        <f aca="false">IF(B11=0,0,H11/B11)</f>
        <v>0.359307359307359</v>
      </c>
      <c r="J11" s="25" t="n">
        <f aca="false">SUM(J7:J10)</f>
        <v>146</v>
      </c>
      <c r="K11" s="27" t="n">
        <f aca="false">IF(B11=0,0,J11/B11)</f>
        <v>0.632034632034632</v>
      </c>
      <c r="L11" s="27" t="n">
        <f aca="false">IF(B11=0,0,C11/B11)</f>
        <v>0.00865800865800866</v>
      </c>
      <c r="M11" s="27" t="n">
        <f aca="false">IF(H11=0,0,C11/H11)</f>
        <v>0.0240963855421687</v>
      </c>
      <c r="N11" s="27" t="n">
        <f aca="false">IF(AP11=0,0,D11/AP11)</f>
        <v>0.0188679245283019</v>
      </c>
      <c r="O11" s="25" t="n">
        <f aca="false">SUM(O7:O10)</f>
        <v>2569</v>
      </c>
      <c r="P11" s="28" t="n">
        <f aca="false">IF(B11=0,0,O11/B11)</f>
        <v>11.1212121212121</v>
      </c>
      <c r="Q11" s="27" t="n">
        <f aca="false">IF(O11=0,0,AP11/O11)</f>
        <v>0.0412611911249513</v>
      </c>
      <c r="R11" s="25" t="n">
        <f aca="false">SUM(R7:R10)</f>
        <v>2418</v>
      </c>
      <c r="S11" s="28" t="n">
        <f aca="false">IF(B11=0,0,R11/B11)</f>
        <v>10.4675324675325</v>
      </c>
      <c r="T11" s="29" t="n">
        <f aca="false">SUM(T7:T10)</f>
        <v>2378.3</v>
      </c>
      <c r="U11" s="29" t="n">
        <f aca="false">SUM(U7:U10)</f>
        <v>1902.64</v>
      </c>
      <c r="V11" s="30"/>
      <c r="W11" s="25"/>
      <c r="X11" s="31"/>
      <c r="Y11" s="25"/>
      <c r="Z11" s="32"/>
      <c r="AA11" s="31"/>
      <c r="AB11" s="32"/>
      <c r="AC11" s="30"/>
      <c r="AD11" s="31"/>
      <c r="AE11" s="31"/>
      <c r="AF11" s="31"/>
      <c r="AG11" s="31"/>
      <c r="AH11" s="31"/>
      <c r="AI11" s="32"/>
      <c r="AJ11" s="31"/>
      <c r="AK11" s="33"/>
      <c r="AL11" s="30"/>
      <c r="AM11" s="25"/>
      <c r="AN11" s="31"/>
      <c r="AP11" s="12" t="n">
        <f aca="false">SUM(AP7:AP10)</f>
        <v>106</v>
      </c>
    </row>
    <row r="12" customFormat="false" ht="30" hidden="false" customHeight="true" outlineLevel="0" collapsed="false">
      <c r="A12" s="11" t="s">
        <v>46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P12" s="12"/>
    </row>
    <row r="13" customFormat="false" ht="30" hidden="false" customHeight="true" outlineLevel="0" collapsed="false">
      <c r="A13" s="13" t="n">
        <v>46272</v>
      </c>
      <c r="B13" s="14" t="n">
        <v>42</v>
      </c>
      <c r="C13" s="14" t="n">
        <v>1</v>
      </c>
      <c r="D13" s="14" t="n">
        <v>1</v>
      </c>
      <c r="E13" s="15" t="n">
        <v>1</v>
      </c>
      <c r="F13" s="14" t="n">
        <v>13</v>
      </c>
      <c r="G13" s="16" t="n">
        <v>0.30952380952381</v>
      </c>
      <c r="H13" s="14" t="n">
        <v>9</v>
      </c>
      <c r="I13" s="16" t="n">
        <v>0.214285714285714</v>
      </c>
      <c r="J13" s="14" t="n">
        <v>19</v>
      </c>
      <c r="K13" s="16" t="n">
        <v>0.452380952380952</v>
      </c>
      <c r="L13" s="16" t="n">
        <v>0.0238095238095238</v>
      </c>
      <c r="M13" s="16" t="n">
        <v>0.111111111111111</v>
      </c>
      <c r="N13" s="16" t="n">
        <v>0.0833333333333333</v>
      </c>
      <c r="O13" s="14" t="n">
        <v>245</v>
      </c>
      <c r="P13" s="17" t="n">
        <v>5.83333333333333</v>
      </c>
      <c r="Q13" s="16" t="n">
        <v>0.0489795918367347</v>
      </c>
      <c r="R13" s="14" t="n">
        <v>227</v>
      </c>
      <c r="S13" s="17" t="n">
        <v>5.40476190476191</v>
      </c>
      <c r="T13" s="18" t="n">
        <v>1399</v>
      </c>
      <c r="U13" s="18" t="n">
        <v>1119.2</v>
      </c>
      <c r="V13" s="19"/>
      <c r="W13" s="20"/>
      <c r="X13" s="21"/>
      <c r="Y13" s="20"/>
      <c r="Z13" s="22"/>
      <c r="AA13" s="21"/>
      <c r="AB13" s="22"/>
      <c r="AC13" s="19"/>
      <c r="AD13" s="21"/>
      <c r="AE13" s="21"/>
      <c r="AF13" s="21"/>
      <c r="AG13" s="21"/>
      <c r="AH13" s="21"/>
      <c r="AI13" s="22"/>
      <c r="AJ13" s="21"/>
      <c r="AK13" s="23"/>
      <c r="AL13" s="19"/>
      <c r="AM13" s="20"/>
      <c r="AN13" s="21"/>
      <c r="AP13" s="12" t="n">
        <v>12</v>
      </c>
    </row>
    <row r="14" customFormat="false" ht="30" hidden="false" customHeight="true" outlineLevel="0" collapsed="false">
      <c r="A14" s="13" t="n">
        <v>46273</v>
      </c>
      <c r="B14" s="14" t="n">
        <v>78</v>
      </c>
      <c r="C14" s="14"/>
      <c r="D14" s="14"/>
      <c r="E14" s="15"/>
      <c r="F14" s="14" t="n">
        <v>22</v>
      </c>
      <c r="G14" s="16" t="n">
        <v>0.282051282051282</v>
      </c>
      <c r="H14" s="14" t="n">
        <v>15</v>
      </c>
      <c r="I14" s="16" t="n">
        <v>0.192307692307692</v>
      </c>
      <c r="J14" s="14" t="n">
        <v>27</v>
      </c>
      <c r="K14" s="16" t="n">
        <v>0.346153846153846</v>
      </c>
      <c r="L14" s="16" t="n">
        <v>0</v>
      </c>
      <c r="M14" s="16" t="n">
        <v>0</v>
      </c>
      <c r="N14" s="16" t="n">
        <v>0</v>
      </c>
      <c r="O14" s="14" t="n">
        <v>495</v>
      </c>
      <c r="P14" s="17" t="n">
        <v>6.34615384615385</v>
      </c>
      <c r="Q14" s="16" t="n">
        <v>0.0363636363636364</v>
      </c>
      <c r="R14" s="14" t="n">
        <v>464</v>
      </c>
      <c r="S14" s="17" t="n">
        <v>5.94871794871795</v>
      </c>
      <c r="T14" s="18" t="n">
        <v>0</v>
      </c>
      <c r="U14" s="18" t="n">
        <v>0</v>
      </c>
      <c r="V14" s="19"/>
      <c r="W14" s="20"/>
      <c r="X14" s="21"/>
      <c r="Y14" s="20"/>
      <c r="Z14" s="22"/>
      <c r="AA14" s="21"/>
      <c r="AB14" s="22"/>
      <c r="AC14" s="19"/>
      <c r="AD14" s="21"/>
      <c r="AE14" s="21"/>
      <c r="AF14" s="21"/>
      <c r="AG14" s="21"/>
      <c r="AH14" s="21"/>
      <c r="AI14" s="22"/>
      <c r="AJ14" s="21"/>
      <c r="AK14" s="23"/>
      <c r="AL14" s="19"/>
      <c r="AM14" s="20"/>
      <c r="AN14" s="21"/>
      <c r="AP14" s="12" t="n">
        <v>18</v>
      </c>
    </row>
    <row r="15" customFormat="false" ht="30" hidden="false" customHeight="true" outlineLevel="0" collapsed="false">
      <c r="A15" s="13" t="n">
        <v>46274</v>
      </c>
      <c r="B15" s="14" t="n">
        <v>71</v>
      </c>
      <c r="C15" s="14"/>
      <c r="D15" s="14"/>
      <c r="E15" s="15"/>
      <c r="F15" s="14" t="n">
        <v>44</v>
      </c>
      <c r="G15" s="16" t="n">
        <v>0.619718309859155</v>
      </c>
      <c r="H15" s="14" t="n">
        <v>34</v>
      </c>
      <c r="I15" s="16" t="n">
        <v>0.47887323943662</v>
      </c>
      <c r="J15" s="14" t="n">
        <v>57</v>
      </c>
      <c r="K15" s="16" t="n">
        <v>0.802816901408451</v>
      </c>
      <c r="L15" s="16" t="n">
        <v>0</v>
      </c>
      <c r="M15" s="16" t="n">
        <v>0</v>
      </c>
      <c r="N15" s="16" t="n">
        <v>0</v>
      </c>
      <c r="O15" s="14" t="n">
        <v>744</v>
      </c>
      <c r="P15" s="17" t="n">
        <v>10.4788732394366</v>
      </c>
      <c r="Q15" s="16" t="n">
        <v>0.0645161290322581</v>
      </c>
      <c r="R15" s="14" t="n">
        <v>702</v>
      </c>
      <c r="S15" s="17" t="n">
        <v>9.88732394366197</v>
      </c>
      <c r="T15" s="18" t="n">
        <v>0</v>
      </c>
      <c r="U15" s="18" t="n">
        <v>0</v>
      </c>
      <c r="V15" s="19"/>
      <c r="W15" s="20"/>
      <c r="X15" s="21"/>
      <c r="Y15" s="20"/>
      <c r="Z15" s="22"/>
      <c r="AA15" s="21"/>
      <c r="AB15" s="22"/>
      <c r="AC15" s="19"/>
      <c r="AD15" s="21"/>
      <c r="AE15" s="21"/>
      <c r="AF15" s="21"/>
      <c r="AG15" s="21"/>
      <c r="AH15" s="21"/>
      <c r="AI15" s="22"/>
      <c r="AJ15" s="21"/>
      <c r="AK15" s="23"/>
      <c r="AL15" s="19"/>
      <c r="AM15" s="20"/>
      <c r="AN15" s="21"/>
      <c r="AP15" s="12" t="n">
        <v>48</v>
      </c>
    </row>
    <row r="16" customFormat="false" ht="30" hidden="false" customHeight="true" outlineLevel="0" collapsed="false">
      <c r="A16" s="13" t="n">
        <v>46275</v>
      </c>
      <c r="B16" s="14" t="n">
        <v>62</v>
      </c>
      <c r="C16" s="14" t="n">
        <v>2</v>
      </c>
      <c r="D16" s="14" t="n">
        <v>2</v>
      </c>
      <c r="E16" s="15" t="n">
        <v>1</v>
      </c>
      <c r="F16" s="14" t="n">
        <v>14</v>
      </c>
      <c r="G16" s="16" t="n">
        <v>0.225806451612903</v>
      </c>
      <c r="H16" s="14" t="n">
        <v>19</v>
      </c>
      <c r="I16" s="16" t="n">
        <v>0.306451612903226</v>
      </c>
      <c r="J16" s="14" t="n">
        <v>29</v>
      </c>
      <c r="K16" s="16" t="n">
        <v>0.467741935483871</v>
      </c>
      <c r="L16" s="16" t="n">
        <v>0.032258064516129</v>
      </c>
      <c r="M16" s="16" t="n">
        <v>0.105263157894737</v>
      </c>
      <c r="N16" s="16" t="n">
        <v>0.1</v>
      </c>
      <c r="O16" s="14" t="n">
        <v>499</v>
      </c>
      <c r="P16" s="17" t="n">
        <v>8.04838709677419</v>
      </c>
      <c r="Q16" s="16" t="n">
        <v>0.0400801603206413</v>
      </c>
      <c r="R16" s="14" t="n">
        <v>466</v>
      </c>
      <c r="S16" s="17" t="n">
        <v>7.51612903225806</v>
      </c>
      <c r="T16" s="18" t="n">
        <v>1734.4</v>
      </c>
      <c r="U16" s="18" t="n">
        <v>1387.52</v>
      </c>
      <c r="V16" s="19"/>
      <c r="W16" s="20"/>
      <c r="X16" s="21"/>
      <c r="Y16" s="20"/>
      <c r="Z16" s="22"/>
      <c r="AA16" s="21"/>
      <c r="AB16" s="22"/>
      <c r="AC16" s="19"/>
      <c r="AD16" s="21"/>
      <c r="AE16" s="21"/>
      <c r="AF16" s="21"/>
      <c r="AG16" s="21"/>
      <c r="AH16" s="21"/>
      <c r="AI16" s="22"/>
      <c r="AJ16" s="21"/>
      <c r="AK16" s="23"/>
      <c r="AL16" s="19"/>
      <c r="AM16" s="20"/>
      <c r="AN16" s="21"/>
      <c r="AP16" s="12" t="n">
        <v>20</v>
      </c>
    </row>
    <row r="17" customFormat="false" ht="30" hidden="false" customHeight="true" outlineLevel="0" collapsed="false">
      <c r="A17" s="13" t="n">
        <v>46276</v>
      </c>
      <c r="B17" s="14" t="n">
        <v>51</v>
      </c>
      <c r="C17" s="14"/>
      <c r="D17" s="14"/>
      <c r="E17" s="15"/>
      <c r="F17" s="14" t="n">
        <v>10</v>
      </c>
      <c r="G17" s="16" t="n">
        <v>0.196078431372549</v>
      </c>
      <c r="H17" s="14" t="n">
        <v>13</v>
      </c>
      <c r="I17" s="16" t="n">
        <v>0.254901960784314</v>
      </c>
      <c r="J17" s="14" t="n">
        <v>23</v>
      </c>
      <c r="K17" s="16" t="n">
        <v>0.450980392156863</v>
      </c>
      <c r="L17" s="16" t="n">
        <v>0</v>
      </c>
      <c r="M17" s="16" t="n">
        <v>0</v>
      </c>
      <c r="N17" s="16" t="n">
        <v>0</v>
      </c>
      <c r="O17" s="14" t="n">
        <v>350</v>
      </c>
      <c r="P17" s="17" t="n">
        <v>6.86274509803922</v>
      </c>
      <c r="Q17" s="16" t="n">
        <v>0.0371428571428571</v>
      </c>
      <c r="R17" s="14" t="n">
        <v>320</v>
      </c>
      <c r="S17" s="17" t="n">
        <v>6.27450980392157</v>
      </c>
      <c r="T17" s="18" t="n">
        <v>0</v>
      </c>
      <c r="U17" s="18" t="n">
        <v>0</v>
      </c>
      <c r="V17" s="19"/>
      <c r="W17" s="20"/>
      <c r="X17" s="21"/>
      <c r="Y17" s="20"/>
      <c r="Z17" s="22"/>
      <c r="AA17" s="21"/>
      <c r="AB17" s="22"/>
      <c r="AC17" s="19"/>
      <c r="AD17" s="21"/>
      <c r="AE17" s="21"/>
      <c r="AF17" s="21"/>
      <c r="AG17" s="21"/>
      <c r="AH17" s="21"/>
      <c r="AI17" s="22"/>
      <c r="AJ17" s="21"/>
      <c r="AK17" s="23"/>
      <c r="AL17" s="19"/>
      <c r="AM17" s="20"/>
      <c r="AN17" s="21"/>
      <c r="AP17" s="12" t="n">
        <v>13</v>
      </c>
    </row>
    <row r="18" customFormat="false" ht="30" hidden="false" customHeight="true" outlineLevel="0" collapsed="false">
      <c r="A18" s="24" t="s">
        <v>47</v>
      </c>
      <c r="B18" s="25" t="n">
        <f aca="false">SUM(B13:B17)</f>
        <v>304</v>
      </c>
      <c r="C18" s="25" t="n">
        <f aca="false">SUM(C13:C17)</f>
        <v>3</v>
      </c>
      <c r="D18" s="25" t="n">
        <f aca="false">SUM(D13:D17)</f>
        <v>3</v>
      </c>
      <c r="E18" s="26" t="n">
        <f aca="false">IF(C18=0,0,D18/C18)</f>
        <v>1</v>
      </c>
      <c r="F18" s="25" t="n">
        <f aca="false">SUM(F13:F17)</f>
        <v>103</v>
      </c>
      <c r="G18" s="27" t="n">
        <f aca="false">IF(B18=0,0,F18/B18)</f>
        <v>0.338815789473684</v>
      </c>
      <c r="H18" s="25" t="n">
        <f aca="false">SUM(H13:H17)</f>
        <v>90</v>
      </c>
      <c r="I18" s="27" t="n">
        <f aca="false">IF(B18=0,0,H18/B18)</f>
        <v>0.296052631578947</v>
      </c>
      <c r="J18" s="25" t="n">
        <f aca="false">SUM(J13:J17)</f>
        <v>155</v>
      </c>
      <c r="K18" s="27" t="n">
        <f aca="false">IF(B18=0,0,J18/B18)</f>
        <v>0.509868421052632</v>
      </c>
      <c r="L18" s="27" t="n">
        <f aca="false">IF(B18=0,0,C18/B18)</f>
        <v>0.00986842105263158</v>
      </c>
      <c r="M18" s="27" t="n">
        <f aca="false">IF(H18=0,0,C18/H18)</f>
        <v>0.0333333333333333</v>
      </c>
      <c r="N18" s="27" t="n">
        <f aca="false">IF(AP18=0,0,D18/AP18)</f>
        <v>0.027027027027027</v>
      </c>
      <c r="O18" s="25" t="n">
        <f aca="false">SUM(O13:O17)</f>
        <v>2333</v>
      </c>
      <c r="P18" s="28" t="n">
        <f aca="false">IF(B18=0,0,O18/B18)</f>
        <v>7.67434210526316</v>
      </c>
      <c r="Q18" s="27" t="n">
        <f aca="false">IF(O18=0,0,AP18/O18)</f>
        <v>0.0475782254607801</v>
      </c>
      <c r="R18" s="25" t="n">
        <f aca="false">SUM(R13:R17)</f>
        <v>2179</v>
      </c>
      <c r="S18" s="28" t="n">
        <f aca="false">IF(B18=0,0,R18/B18)</f>
        <v>7.16776315789474</v>
      </c>
      <c r="T18" s="29" t="n">
        <f aca="false">SUM(T13:T17)</f>
        <v>3133.4</v>
      </c>
      <c r="U18" s="29" t="n">
        <f aca="false">SUM(U13:U17)</f>
        <v>2506.72</v>
      </c>
      <c r="V18" s="30"/>
      <c r="W18" s="25"/>
      <c r="X18" s="31"/>
      <c r="Y18" s="25"/>
      <c r="Z18" s="32"/>
      <c r="AA18" s="31"/>
      <c r="AB18" s="32"/>
      <c r="AC18" s="30"/>
      <c r="AD18" s="31"/>
      <c r="AE18" s="31"/>
      <c r="AF18" s="31"/>
      <c r="AG18" s="31"/>
      <c r="AH18" s="31"/>
      <c r="AI18" s="32"/>
      <c r="AJ18" s="31"/>
      <c r="AK18" s="33"/>
      <c r="AL18" s="30"/>
      <c r="AM18" s="25"/>
      <c r="AN18" s="31"/>
      <c r="AP18" s="12" t="n">
        <f aca="false">SUM(AP13:AP17)</f>
        <v>111</v>
      </c>
    </row>
    <row r="19" customFormat="false" ht="30" hidden="false" customHeight="true" outlineLevel="0" collapsed="false">
      <c r="A19" s="34" t="s">
        <v>48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P19" s="12"/>
    </row>
    <row r="20" customFormat="false" ht="30" hidden="false" customHeight="true" outlineLevel="0" collapsed="false">
      <c r="A20" s="35" t="n">
        <v>46279</v>
      </c>
      <c r="B20" s="20" t="n">
        <v>28</v>
      </c>
      <c r="C20" s="20"/>
      <c r="D20" s="20"/>
      <c r="E20" s="36"/>
      <c r="F20" s="20" t="n">
        <v>8</v>
      </c>
      <c r="G20" s="37" t="n">
        <v>0.285714285714286</v>
      </c>
      <c r="H20" s="20" t="n">
        <v>12</v>
      </c>
      <c r="I20" s="37" t="n">
        <v>0.428571428571429</v>
      </c>
      <c r="J20" s="20" t="n">
        <v>16</v>
      </c>
      <c r="K20" s="37" t="n">
        <v>0.571428571428571</v>
      </c>
      <c r="L20" s="37" t="n">
        <v>0</v>
      </c>
      <c r="M20" s="37" t="n">
        <v>0</v>
      </c>
      <c r="N20" s="37" t="n">
        <v>0</v>
      </c>
      <c r="O20" s="20" t="n">
        <v>474</v>
      </c>
      <c r="P20" s="38" t="n">
        <v>16.9285714285714</v>
      </c>
      <c r="Q20" s="37" t="n">
        <v>0.0274261603375527</v>
      </c>
      <c r="R20" s="20" t="n">
        <v>449</v>
      </c>
      <c r="S20" s="38" t="n">
        <v>16.0357142857143</v>
      </c>
      <c r="T20" s="39" t="n">
        <v>0</v>
      </c>
      <c r="U20" s="39" t="n">
        <v>0</v>
      </c>
      <c r="V20" s="19"/>
      <c r="W20" s="40" t="n">
        <v>546.24</v>
      </c>
      <c r="X20" s="41" t="n">
        <v>138.06</v>
      </c>
      <c r="Y20" s="40" t="n">
        <f aca="false">W20+X20</f>
        <v>684.3</v>
      </c>
      <c r="Z20" s="42" t="n">
        <f aca="false">IF(B20=0,0,Y20/B20)</f>
        <v>24.4392857142857</v>
      </c>
      <c r="AA20" s="41" t="n">
        <f aca="false">IF(C20=0,0,Y20/C20)</f>
        <v>0</v>
      </c>
      <c r="AB20" s="42" t="n">
        <f aca="false">IF(H20=0,0,Y20/H20)</f>
        <v>57.025</v>
      </c>
      <c r="AC20" s="19"/>
      <c r="AD20" s="43" t="n">
        <v>393.67</v>
      </c>
      <c r="AE20" s="43" t="n">
        <v>0</v>
      </c>
      <c r="AF20" s="43" t="n">
        <v>0</v>
      </c>
      <c r="AG20" s="43" t="n">
        <v>0</v>
      </c>
      <c r="AH20" s="43" t="n">
        <v>0</v>
      </c>
      <c r="AI20" s="44" t="n">
        <f aca="false">IF(AE20=0,0,AD20/AE20)</f>
        <v>0</v>
      </c>
      <c r="AJ20" s="43" t="n">
        <f aca="false">IF(AG20=0,0,AD20/AG20)</f>
        <v>0</v>
      </c>
      <c r="AK20" s="45" t="n">
        <f aca="false">IF(AD20=0,0,AH20/AD20)</f>
        <v>0</v>
      </c>
      <c r="AL20" s="19"/>
      <c r="AM20" s="46" t="n">
        <f aca="false">Y20+AD20</f>
        <v>1077.97</v>
      </c>
      <c r="AN20" s="47" t="n">
        <f aca="false">IF(C20=0,0,AM20/C20)</f>
        <v>0</v>
      </c>
      <c r="AP20" s="12" t="n">
        <v>13</v>
      </c>
    </row>
    <row r="21" customFormat="false" ht="30" hidden="false" customHeight="true" outlineLevel="0" collapsed="false">
      <c r="A21" s="35" t="n">
        <v>46280</v>
      </c>
      <c r="B21" s="20" t="n">
        <v>34</v>
      </c>
      <c r="C21" s="20"/>
      <c r="D21" s="20"/>
      <c r="E21" s="36"/>
      <c r="F21" s="20" t="n">
        <v>8</v>
      </c>
      <c r="G21" s="37" t="n">
        <v>0.235294117647059</v>
      </c>
      <c r="H21" s="20" t="n">
        <v>10</v>
      </c>
      <c r="I21" s="37" t="n">
        <v>0.294117647058824</v>
      </c>
      <c r="J21" s="20" t="n">
        <v>12</v>
      </c>
      <c r="K21" s="37" t="n">
        <v>0.352941176470588</v>
      </c>
      <c r="L21" s="37" t="n">
        <v>0</v>
      </c>
      <c r="M21" s="37" t="n">
        <v>0</v>
      </c>
      <c r="N21" s="37" t="n">
        <v>0</v>
      </c>
      <c r="O21" s="20" t="n">
        <v>271</v>
      </c>
      <c r="P21" s="38" t="n">
        <v>7.97058823529412</v>
      </c>
      <c r="Q21" s="37" t="n">
        <v>0.040590405904059</v>
      </c>
      <c r="R21" s="20" t="n">
        <v>255</v>
      </c>
      <c r="S21" s="38" t="n">
        <v>7.5</v>
      </c>
      <c r="T21" s="39" t="n">
        <v>0</v>
      </c>
      <c r="U21" s="39" t="n">
        <v>0</v>
      </c>
      <c r="V21" s="19"/>
      <c r="W21" s="40" t="n">
        <v>450.02</v>
      </c>
      <c r="X21" s="41" t="n">
        <v>108.45</v>
      </c>
      <c r="Y21" s="40" t="n">
        <f aca="false">W21+X21</f>
        <v>558.47</v>
      </c>
      <c r="Z21" s="42" t="n">
        <f aca="false">IF(B21=0,0,Y21/B21)</f>
        <v>16.4255882352941</v>
      </c>
      <c r="AA21" s="41" t="n">
        <f aca="false">IF(C21=0,0,Y21/C21)</f>
        <v>0</v>
      </c>
      <c r="AB21" s="42" t="n">
        <f aca="false">IF(H21=0,0,Y21/H21)</f>
        <v>55.847</v>
      </c>
      <c r="AC21" s="19"/>
      <c r="AD21" s="43" t="n">
        <v>511.01</v>
      </c>
      <c r="AE21" s="43" t="n">
        <v>2</v>
      </c>
      <c r="AF21" s="43" t="n">
        <v>1</v>
      </c>
      <c r="AG21" s="43" t="n">
        <v>0</v>
      </c>
      <c r="AH21" s="43" t="n">
        <v>0</v>
      </c>
      <c r="AI21" s="44" t="n">
        <f aca="false">IF(AE21=0,0,AD21/AE21)</f>
        <v>255.505</v>
      </c>
      <c r="AJ21" s="43" t="n">
        <f aca="false">IF(AG21=0,0,AD21/AG21)</f>
        <v>0</v>
      </c>
      <c r="AK21" s="45" t="n">
        <f aca="false">IF(AD21=0,0,AH21/AD21)</f>
        <v>0</v>
      </c>
      <c r="AL21" s="19"/>
      <c r="AM21" s="46" t="n">
        <f aca="false">Y21+AD21</f>
        <v>1069.48</v>
      </c>
      <c r="AN21" s="47" t="n">
        <f aca="false">IF(C21=0,0,AM21/C21)</f>
        <v>0</v>
      </c>
      <c r="AP21" s="12" t="n">
        <v>11</v>
      </c>
    </row>
    <row r="22" customFormat="false" ht="30" hidden="false" customHeight="true" outlineLevel="0" collapsed="false">
      <c r="A22" s="35" t="n">
        <v>46281</v>
      </c>
      <c r="B22" s="20" t="n">
        <v>31</v>
      </c>
      <c r="C22" s="20" t="n">
        <v>1</v>
      </c>
      <c r="D22" s="20" t="n">
        <v>1</v>
      </c>
      <c r="E22" s="36" t="n">
        <v>1</v>
      </c>
      <c r="F22" s="20" t="n">
        <v>14</v>
      </c>
      <c r="G22" s="37" t="n">
        <v>0.451612903225806</v>
      </c>
      <c r="H22" s="20" t="n">
        <v>17</v>
      </c>
      <c r="I22" s="37" t="n">
        <v>0.548387096774194</v>
      </c>
      <c r="J22" s="20" t="n">
        <v>23</v>
      </c>
      <c r="K22" s="37" t="n">
        <v>0.741935483870968</v>
      </c>
      <c r="L22" s="37" t="n">
        <v>0.032258064516129</v>
      </c>
      <c r="M22" s="37" t="n">
        <v>0.0588235294117647</v>
      </c>
      <c r="N22" s="37" t="n">
        <v>0.0588235294117647</v>
      </c>
      <c r="O22" s="20" t="n">
        <v>422</v>
      </c>
      <c r="P22" s="38" t="n">
        <v>13.6129032258065</v>
      </c>
      <c r="Q22" s="37" t="n">
        <v>0.0402843601895735</v>
      </c>
      <c r="R22" s="20" t="n">
        <v>384</v>
      </c>
      <c r="S22" s="38" t="n">
        <v>12.3870967741935</v>
      </c>
      <c r="T22" s="39" t="n">
        <v>895</v>
      </c>
      <c r="U22" s="39" t="n">
        <v>716</v>
      </c>
      <c r="V22" s="19"/>
      <c r="W22" s="40" t="n">
        <v>484.04</v>
      </c>
      <c r="X22" s="41" t="n">
        <v>147.89</v>
      </c>
      <c r="Y22" s="40" t="n">
        <f aca="false">W22+X22</f>
        <v>631.93</v>
      </c>
      <c r="Z22" s="42" t="n">
        <f aca="false">IF(B22=0,0,Y22/B22)</f>
        <v>20.3848387096774</v>
      </c>
      <c r="AA22" s="41" t="n">
        <f aca="false">IF(C22=0,0,Y22/C22)</f>
        <v>631.93</v>
      </c>
      <c r="AB22" s="42" t="n">
        <f aca="false">IF(H22=0,0,Y22/H22)</f>
        <v>37.1723529411765</v>
      </c>
      <c r="AC22" s="19"/>
      <c r="AD22" s="43" t="n">
        <v>851.88</v>
      </c>
      <c r="AE22" s="43" t="n">
        <v>3</v>
      </c>
      <c r="AF22" s="43" t="n">
        <v>1</v>
      </c>
      <c r="AG22" s="43" t="n">
        <v>1</v>
      </c>
      <c r="AH22" s="43" t="n">
        <v>179</v>
      </c>
      <c r="AI22" s="44" t="n">
        <f aca="false">IF(AE22=0,0,AD22/AE22)</f>
        <v>283.96</v>
      </c>
      <c r="AJ22" s="43" t="n">
        <f aca="false">IF(AG22=0,0,AD22/AG22)</f>
        <v>851.88</v>
      </c>
      <c r="AK22" s="45" t="n">
        <f aca="false">IF(AD22=0,0,AH22/AD22)</f>
        <v>0.210123491571583</v>
      </c>
      <c r="AL22" s="19"/>
      <c r="AM22" s="46" t="n">
        <f aca="false">Y22+AD22</f>
        <v>1483.81</v>
      </c>
      <c r="AN22" s="47" t="n">
        <f aca="false">IF(C22=0,0,AM22/C22)</f>
        <v>1483.81</v>
      </c>
      <c r="AP22" s="12" t="n">
        <v>17</v>
      </c>
    </row>
    <row r="23" customFormat="false" ht="30" hidden="false" customHeight="true" outlineLevel="0" collapsed="false">
      <c r="A23" s="35" t="n">
        <v>46282</v>
      </c>
      <c r="B23" s="20" t="n">
        <v>33</v>
      </c>
      <c r="C23" s="20" t="n">
        <v>1</v>
      </c>
      <c r="D23" s="20" t="n">
        <v>1</v>
      </c>
      <c r="E23" s="36" t="n">
        <v>1</v>
      </c>
      <c r="F23" s="20" t="n">
        <v>14</v>
      </c>
      <c r="G23" s="37" t="n">
        <v>0.424242424242424</v>
      </c>
      <c r="H23" s="20" t="n">
        <v>18</v>
      </c>
      <c r="I23" s="37" t="n">
        <v>0.545454545454545</v>
      </c>
      <c r="J23" s="20" t="n">
        <v>28</v>
      </c>
      <c r="K23" s="37" t="n">
        <v>0.848484848484849</v>
      </c>
      <c r="L23" s="37" t="n">
        <v>0.0303030303030303</v>
      </c>
      <c r="M23" s="37" t="n">
        <v>0.0555555555555556</v>
      </c>
      <c r="N23" s="37" t="n">
        <v>0.0526315789473684</v>
      </c>
      <c r="O23" s="20" t="n">
        <v>445</v>
      </c>
      <c r="P23" s="38" t="n">
        <v>13.4848484848485</v>
      </c>
      <c r="Q23" s="37" t="n">
        <v>0.0426966292134831</v>
      </c>
      <c r="R23" s="20" t="n">
        <v>405</v>
      </c>
      <c r="S23" s="38" t="n">
        <v>12.2727272727273</v>
      </c>
      <c r="T23" s="39" t="n">
        <v>839.4</v>
      </c>
      <c r="U23" s="39" t="n">
        <v>671.52</v>
      </c>
      <c r="V23" s="19"/>
      <c r="W23" s="40" t="n">
        <v>442.91</v>
      </c>
      <c r="X23" s="41" t="n">
        <v>73.39</v>
      </c>
      <c r="Y23" s="40" t="n">
        <f aca="false">W23+X23</f>
        <v>516.3</v>
      </c>
      <c r="Z23" s="42" t="n">
        <f aca="false">IF(B23=0,0,Y23/B23)</f>
        <v>15.6454545454545</v>
      </c>
      <c r="AA23" s="41" t="n">
        <f aca="false">IF(C23=0,0,Y23/C23)</f>
        <v>516.3</v>
      </c>
      <c r="AB23" s="42" t="n">
        <f aca="false">IF(H23=0,0,Y23/H23)</f>
        <v>28.6833333333333</v>
      </c>
      <c r="AC23" s="19"/>
      <c r="AD23" s="43" t="n">
        <v>850.68</v>
      </c>
      <c r="AE23" s="43" t="n">
        <v>0</v>
      </c>
      <c r="AF23" s="43" t="n">
        <v>0</v>
      </c>
      <c r="AG23" s="43" t="n">
        <v>0</v>
      </c>
      <c r="AH23" s="43" t="n">
        <v>0</v>
      </c>
      <c r="AI23" s="44" t="n">
        <f aca="false">IF(AE23=0,0,AD23/AE23)</f>
        <v>0</v>
      </c>
      <c r="AJ23" s="43" t="n">
        <f aca="false">IF(AG23=0,0,AD23/AG23)</f>
        <v>0</v>
      </c>
      <c r="AK23" s="45" t="n">
        <f aca="false">IF(AD23=0,0,AH23/AD23)</f>
        <v>0</v>
      </c>
      <c r="AL23" s="19"/>
      <c r="AM23" s="46" t="n">
        <f aca="false">Y23+AD23</f>
        <v>1366.98</v>
      </c>
      <c r="AN23" s="47" t="n">
        <f aca="false">IF(C23=0,0,AM23/C23)</f>
        <v>1366.98</v>
      </c>
      <c r="AP23" s="12" t="n">
        <v>19</v>
      </c>
    </row>
    <row r="24" customFormat="false" ht="30" hidden="false" customHeight="true" outlineLevel="0" collapsed="false">
      <c r="A24" s="35" t="n">
        <v>46283</v>
      </c>
      <c r="B24" s="20" t="n">
        <v>36</v>
      </c>
      <c r="C24" s="20"/>
      <c r="D24" s="20"/>
      <c r="E24" s="36"/>
      <c r="F24" s="20" t="n">
        <v>13</v>
      </c>
      <c r="G24" s="37" t="n">
        <v>0.361111111111111</v>
      </c>
      <c r="H24" s="20" t="n">
        <v>17</v>
      </c>
      <c r="I24" s="37" t="n">
        <v>0.472222222222222</v>
      </c>
      <c r="J24" s="20" t="n">
        <v>35</v>
      </c>
      <c r="K24" s="37" t="n">
        <v>0.972222222222222</v>
      </c>
      <c r="L24" s="37" t="n">
        <v>0</v>
      </c>
      <c r="M24" s="37" t="n">
        <v>0</v>
      </c>
      <c r="N24" s="37" t="n">
        <v>0</v>
      </c>
      <c r="O24" s="20" t="n">
        <v>627</v>
      </c>
      <c r="P24" s="38" t="n">
        <v>17.4166666666667</v>
      </c>
      <c r="Q24" s="37" t="n">
        <v>0.0318979266347687</v>
      </c>
      <c r="R24" s="20" t="n">
        <v>600</v>
      </c>
      <c r="S24" s="38" t="n">
        <v>16.6666666666667</v>
      </c>
      <c r="T24" s="39" t="n">
        <v>0</v>
      </c>
      <c r="U24" s="39" t="n">
        <v>0</v>
      </c>
      <c r="V24" s="19"/>
      <c r="W24" s="40" t="n">
        <v>442.35</v>
      </c>
      <c r="X24" s="41" t="n">
        <v>117.53</v>
      </c>
      <c r="Y24" s="40" t="n">
        <f aca="false">W24+X24</f>
        <v>559.88</v>
      </c>
      <c r="Z24" s="42" t="n">
        <f aca="false">IF(B24=0,0,Y24/B24)</f>
        <v>15.5522222222222</v>
      </c>
      <c r="AA24" s="41" t="n">
        <f aca="false">IF(C24=0,0,Y24/C24)</f>
        <v>0</v>
      </c>
      <c r="AB24" s="42" t="n">
        <f aca="false">IF(H24=0,0,Y24/H24)</f>
        <v>32.9341176470588</v>
      </c>
      <c r="AC24" s="19"/>
      <c r="AD24" s="43" t="n">
        <v>805.53</v>
      </c>
      <c r="AE24" s="43" t="n">
        <v>2</v>
      </c>
      <c r="AF24" s="43" t="n">
        <v>1</v>
      </c>
      <c r="AG24" s="43" t="n">
        <v>0</v>
      </c>
      <c r="AH24" s="43" t="n">
        <v>0</v>
      </c>
      <c r="AI24" s="44" t="n">
        <f aca="false">IF(AE24=0,0,AD24/AE24)</f>
        <v>402.765</v>
      </c>
      <c r="AJ24" s="43" t="n">
        <f aca="false">IF(AG24=0,0,AD24/AG24)</f>
        <v>0</v>
      </c>
      <c r="AK24" s="45" t="n">
        <f aca="false">IF(AD24=0,0,AH24/AD24)</f>
        <v>0</v>
      </c>
      <c r="AL24" s="19"/>
      <c r="AM24" s="46" t="n">
        <f aca="false">Y24+AD24</f>
        <v>1365.41</v>
      </c>
      <c r="AN24" s="47" t="n">
        <f aca="false">IF(C24=0,0,AM24/C24)</f>
        <v>0</v>
      </c>
      <c r="AP24" s="12" t="n">
        <v>20</v>
      </c>
    </row>
    <row r="25" customFormat="false" ht="30" hidden="false" customHeight="true" outlineLevel="0" collapsed="false">
      <c r="A25" s="48" t="s">
        <v>49</v>
      </c>
      <c r="B25" s="49"/>
      <c r="C25" s="49"/>
      <c r="D25" s="49"/>
      <c r="E25" s="50"/>
      <c r="F25" s="49"/>
      <c r="G25" s="51"/>
      <c r="H25" s="49"/>
      <c r="I25" s="51"/>
      <c r="J25" s="49"/>
      <c r="K25" s="51"/>
      <c r="L25" s="51"/>
      <c r="M25" s="51"/>
      <c r="N25" s="51"/>
      <c r="O25" s="49"/>
      <c r="P25" s="52"/>
      <c r="Q25" s="51"/>
      <c r="R25" s="49"/>
      <c r="S25" s="52"/>
      <c r="T25" s="53"/>
      <c r="U25" s="53"/>
      <c r="V25" s="54"/>
      <c r="W25" s="49" t="n">
        <v>718.73</v>
      </c>
      <c r="X25" s="55" t="n">
        <v>159.63</v>
      </c>
      <c r="Y25" s="49" t="n">
        <f aca="false">W25+X25</f>
        <v>878.36</v>
      </c>
      <c r="Z25" s="56"/>
      <c r="AA25" s="55"/>
      <c r="AB25" s="56"/>
      <c r="AC25" s="54"/>
      <c r="AD25" s="55" t="n">
        <v>1606.23</v>
      </c>
      <c r="AE25" s="55" t="n">
        <v>13</v>
      </c>
      <c r="AF25" s="55" t="n">
        <v>7</v>
      </c>
      <c r="AG25" s="55" t="n">
        <v>0</v>
      </c>
      <c r="AH25" s="55" t="n">
        <v>0</v>
      </c>
      <c r="AI25" s="56" t="n">
        <f aca="false">IF(AE25=0,0,AD25/AE25)</f>
        <v>123.556153846154</v>
      </c>
      <c r="AJ25" s="55" t="n">
        <f aca="false">IF(AG25=0,0,AD25/AG25)</f>
        <v>0</v>
      </c>
      <c r="AK25" s="57" t="n">
        <f aca="false">IF(AD25=0,0,AH25/AD25)</f>
        <v>0</v>
      </c>
      <c r="AL25" s="54"/>
      <c r="AM25" s="49" t="n">
        <f aca="false">Y25+AD25</f>
        <v>2484.59</v>
      </c>
      <c r="AN25" s="55"/>
      <c r="AP25" s="12" t="n">
        <v>0</v>
      </c>
    </row>
    <row r="26" customFormat="false" ht="30" hidden="false" customHeight="true" outlineLevel="0" collapsed="false">
      <c r="A26" s="58" t="s">
        <v>50</v>
      </c>
      <c r="B26" s="59" t="n">
        <f aca="false">SUM(B20:B25)</f>
        <v>162</v>
      </c>
      <c r="C26" s="59" t="n">
        <f aca="false">SUM(C20:C25)</f>
        <v>2</v>
      </c>
      <c r="D26" s="59" t="n">
        <f aca="false">SUM(D20:D25)</f>
        <v>2</v>
      </c>
      <c r="E26" s="60" t="n">
        <f aca="false">IF(C26=0,0,D26/C26)</f>
        <v>1</v>
      </c>
      <c r="F26" s="59" t="n">
        <f aca="false">SUM(F20:F25)</f>
        <v>57</v>
      </c>
      <c r="G26" s="61" t="n">
        <f aca="false">IF(B26=0,0,F26/B26)</f>
        <v>0.351851851851852</v>
      </c>
      <c r="H26" s="59" t="n">
        <f aca="false">SUM(H20:H25)</f>
        <v>74</v>
      </c>
      <c r="I26" s="61" t="n">
        <f aca="false">IF(B26=0,0,H26/B26)</f>
        <v>0.45679012345679</v>
      </c>
      <c r="J26" s="59" t="n">
        <f aca="false">SUM(J20:J25)</f>
        <v>114</v>
      </c>
      <c r="K26" s="61" t="n">
        <f aca="false">IF(B26=0,0,J26/B26)</f>
        <v>0.703703703703704</v>
      </c>
      <c r="L26" s="61" t="n">
        <f aca="false">IF(B26=0,0,C26/B26)</f>
        <v>0.0123456790123457</v>
      </c>
      <c r="M26" s="61" t="n">
        <f aca="false">IF(H26=0,0,C26/H26)</f>
        <v>0.027027027027027</v>
      </c>
      <c r="N26" s="61" t="n">
        <f aca="false">IF(AP26=0,0,D26/AP26)</f>
        <v>0.025</v>
      </c>
      <c r="O26" s="59" t="n">
        <f aca="false">SUM(O20:O25)</f>
        <v>2239</v>
      </c>
      <c r="P26" s="62" t="n">
        <f aca="false">IF(B26=0,0,O26/B26)</f>
        <v>13.820987654321</v>
      </c>
      <c r="Q26" s="61" t="n">
        <f aca="false">IF(O26=0,0,AP26/O26)</f>
        <v>0.0357302367128182</v>
      </c>
      <c r="R26" s="59" t="n">
        <f aca="false">SUM(R20:R25)</f>
        <v>2093</v>
      </c>
      <c r="S26" s="62" t="n">
        <f aca="false">IF(B26=0,0,R26/B26)</f>
        <v>12.9197530864198</v>
      </c>
      <c r="T26" s="63" t="n">
        <f aca="false">SUM(T20:T25)</f>
        <v>1734.4</v>
      </c>
      <c r="U26" s="63" t="n">
        <f aca="false">SUM(U20:U25)</f>
        <v>1387.52</v>
      </c>
      <c r="V26" s="64"/>
      <c r="W26" s="59" t="n">
        <f aca="false">SUM(W20:W25)</f>
        <v>3084.29</v>
      </c>
      <c r="X26" s="65" t="n">
        <f aca="false">SUM(X20:X25)</f>
        <v>744.95</v>
      </c>
      <c r="Y26" s="59" t="n">
        <f aca="false">W26+X26</f>
        <v>3829.24</v>
      </c>
      <c r="Z26" s="66" t="n">
        <f aca="false">IF(B26=0,0,Y26/B26)</f>
        <v>23.6372839506173</v>
      </c>
      <c r="AA26" s="65" t="n">
        <f aca="false">IF(C26=0,0,Y26/C26)</f>
        <v>1914.62</v>
      </c>
      <c r="AB26" s="66" t="n">
        <f aca="false">IF(H26=0,0,Y26/H26)</f>
        <v>51.7464864864865</v>
      </c>
      <c r="AC26" s="64"/>
      <c r="AD26" s="65" t="n">
        <f aca="false">SUM(AD20:AD25)</f>
        <v>5019</v>
      </c>
      <c r="AE26" s="65" t="n">
        <f aca="false">SUM(AE20:AE25)</f>
        <v>20</v>
      </c>
      <c r="AF26" s="65" t="n">
        <f aca="false">SUM(AF20:AF25)</f>
        <v>10</v>
      </c>
      <c r="AG26" s="65" t="n">
        <f aca="false">SUM(AG20:AG25)</f>
        <v>1</v>
      </c>
      <c r="AH26" s="65" t="n">
        <f aca="false">SUM(AH20:AH25)</f>
        <v>179</v>
      </c>
      <c r="AI26" s="66" t="n">
        <f aca="false">IF(AE26=0,0,AD26/AE26)</f>
        <v>250.95</v>
      </c>
      <c r="AJ26" s="65" t="n">
        <f aca="false">IF(AG26=0,0,AD26/AG26)</f>
        <v>5019</v>
      </c>
      <c r="AK26" s="67" t="n">
        <f aca="false">IF(AD26=0,0,AH26/AD26)</f>
        <v>0.0356644749950189</v>
      </c>
      <c r="AL26" s="64"/>
      <c r="AM26" s="59" t="n">
        <f aca="false">Y26+AD26</f>
        <v>8848.24</v>
      </c>
      <c r="AN26" s="65" t="n">
        <f aca="false">IF(C26=0,0,AM26/C26)</f>
        <v>4424.12</v>
      </c>
      <c r="AP26" s="12" t="n">
        <f aca="false">SUM(AP20:AP25)</f>
        <v>80</v>
      </c>
    </row>
    <row r="27" customFormat="false" ht="30" hidden="false" customHeight="true" outlineLevel="0" collapsed="false">
      <c r="A27" s="34" t="s">
        <v>51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P27" s="12"/>
    </row>
    <row r="28" customFormat="false" ht="30" hidden="false" customHeight="true" outlineLevel="0" collapsed="false">
      <c r="A28" s="35" t="n">
        <v>46286</v>
      </c>
      <c r="B28" s="20" t="n">
        <v>30</v>
      </c>
      <c r="C28" s="20" t="n">
        <v>1</v>
      </c>
      <c r="D28" s="20" t="n">
        <v>1</v>
      </c>
      <c r="E28" s="36" t="n">
        <v>1</v>
      </c>
      <c r="F28" s="20" t="n">
        <v>36</v>
      </c>
      <c r="G28" s="37" t="n">
        <v>1.2</v>
      </c>
      <c r="H28" s="20" t="n">
        <v>22</v>
      </c>
      <c r="I28" s="37" t="n">
        <v>0.733333333333333</v>
      </c>
      <c r="J28" s="20" t="n">
        <v>49</v>
      </c>
      <c r="K28" s="37" t="n">
        <v>1.63333333333333</v>
      </c>
      <c r="L28" s="37" t="n">
        <v>0.0333333333333333</v>
      </c>
      <c r="M28" s="37" t="n">
        <v>0.0454545454545455</v>
      </c>
      <c r="N28" s="37" t="n">
        <v>0.0227272727272727</v>
      </c>
      <c r="O28" s="20" t="n">
        <v>664</v>
      </c>
      <c r="P28" s="38" t="n">
        <v>22.1333333333333</v>
      </c>
      <c r="Q28" s="37" t="n">
        <v>0.0662650602409639</v>
      </c>
      <c r="R28" s="20" t="n">
        <v>637</v>
      </c>
      <c r="S28" s="38" t="n">
        <v>21.2333333333333</v>
      </c>
      <c r="T28" s="39" t="n">
        <v>979.3</v>
      </c>
      <c r="U28" s="39" t="n">
        <v>783.44</v>
      </c>
      <c r="V28" s="19"/>
      <c r="W28" s="40" t="n">
        <v>269.38</v>
      </c>
      <c r="X28" s="41" t="n">
        <v>70.79</v>
      </c>
      <c r="Y28" s="40" t="n">
        <f aca="false">W28+X28</f>
        <v>340.17</v>
      </c>
      <c r="Z28" s="42" t="n">
        <f aca="false">IF(B28=0,0,Y28/B28)</f>
        <v>11.339</v>
      </c>
      <c r="AA28" s="41" t="n">
        <f aca="false">IF(C28=0,0,Y28/C28)</f>
        <v>340.17</v>
      </c>
      <c r="AB28" s="42" t="n">
        <f aca="false">IF(H28=0,0,Y28/H28)</f>
        <v>15.4622727272727</v>
      </c>
      <c r="AC28" s="19"/>
      <c r="AD28" s="43" t="n">
        <v>692.24</v>
      </c>
      <c r="AE28" s="43" t="n">
        <v>9</v>
      </c>
      <c r="AF28" s="43" t="n">
        <v>1</v>
      </c>
      <c r="AG28" s="43" t="n">
        <v>0</v>
      </c>
      <c r="AH28" s="43" t="n">
        <v>0</v>
      </c>
      <c r="AI28" s="44" t="n">
        <f aca="false">IF(AE28=0,0,AD28/AE28)</f>
        <v>76.9155555555556</v>
      </c>
      <c r="AJ28" s="43" t="n">
        <f aca="false">IF(AG28=0,0,AD28/AG28)</f>
        <v>0</v>
      </c>
      <c r="AK28" s="45" t="n">
        <f aca="false">IF(AD28=0,0,AH28/AD28)</f>
        <v>0</v>
      </c>
      <c r="AL28" s="19"/>
      <c r="AM28" s="46" t="n">
        <f aca="false">Y28+AD28</f>
        <v>1032.41</v>
      </c>
      <c r="AN28" s="47" t="n">
        <f aca="false">IF(C28=0,0,AM28/C28)</f>
        <v>1032.41</v>
      </c>
      <c r="AP28" s="12" t="n">
        <v>44</v>
      </c>
    </row>
    <row r="29" customFormat="false" ht="30" hidden="false" customHeight="true" outlineLevel="0" collapsed="false">
      <c r="A29" s="35" t="n">
        <v>46287</v>
      </c>
      <c r="B29" s="20" t="n">
        <v>39</v>
      </c>
      <c r="C29" s="20"/>
      <c r="D29" s="20"/>
      <c r="E29" s="36"/>
      <c r="F29" s="20" t="n">
        <v>33</v>
      </c>
      <c r="G29" s="37" t="n">
        <v>0.846153846153846</v>
      </c>
      <c r="H29" s="20" t="n">
        <v>24</v>
      </c>
      <c r="I29" s="37" t="n">
        <v>0.615384615384615</v>
      </c>
      <c r="J29" s="20" t="n">
        <v>39</v>
      </c>
      <c r="K29" s="37" t="n">
        <v>1</v>
      </c>
      <c r="L29" s="37" t="n">
        <v>0</v>
      </c>
      <c r="M29" s="37" t="n">
        <v>0</v>
      </c>
      <c r="N29" s="37" t="n">
        <v>0</v>
      </c>
      <c r="O29" s="20" t="n">
        <v>542</v>
      </c>
      <c r="P29" s="38" t="n">
        <v>13.8974358974359</v>
      </c>
      <c r="Q29" s="37" t="n">
        <v>0.0645756457564576</v>
      </c>
      <c r="R29" s="20" t="n">
        <v>533</v>
      </c>
      <c r="S29" s="38" t="n">
        <v>13.6666666666667</v>
      </c>
      <c r="T29" s="39" t="n">
        <v>0</v>
      </c>
      <c r="U29" s="39" t="n">
        <v>0</v>
      </c>
      <c r="V29" s="19"/>
      <c r="W29" s="40" t="n">
        <v>357.15</v>
      </c>
      <c r="X29" s="41" t="n">
        <v>82.46</v>
      </c>
      <c r="Y29" s="40" t="n">
        <f aca="false">W29+X29</f>
        <v>439.61</v>
      </c>
      <c r="Z29" s="42" t="n">
        <f aca="false">IF(B29=0,0,Y29/B29)</f>
        <v>11.2720512820513</v>
      </c>
      <c r="AA29" s="41" t="n">
        <f aca="false">IF(C29=0,0,Y29/C29)</f>
        <v>0</v>
      </c>
      <c r="AB29" s="42" t="n">
        <f aca="false">IF(H29=0,0,Y29/H29)</f>
        <v>18.3170833333333</v>
      </c>
      <c r="AC29" s="19"/>
      <c r="AD29" s="43" t="n">
        <v>682.9</v>
      </c>
      <c r="AE29" s="43" t="n">
        <v>2</v>
      </c>
      <c r="AF29" s="43" t="n">
        <v>0</v>
      </c>
      <c r="AG29" s="43" t="n">
        <v>0</v>
      </c>
      <c r="AH29" s="43" t="n">
        <v>0</v>
      </c>
      <c r="AI29" s="44" t="n">
        <f aca="false">IF(AE29=0,0,AD29/AE29)</f>
        <v>341.45</v>
      </c>
      <c r="AJ29" s="43" t="n">
        <f aca="false">IF(AG29=0,0,AD29/AG29)</f>
        <v>0</v>
      </c>
      <c r="AK29" s="45" t="n">
        <f aca="false">IF(AD29=0,0,AH29/AD29)</f>
        <v>0</v>
      </c>
      <c r="AL29" s="19"/>
      <c r="AM29" s="46" t="n">
        <f aca="false">Y29+AD29</f>
        <v>1122.51</v>
      </c>
      <c r="AN29" s="47" t="n">
        <f aca="false">IF(C29=0,0,AM29/C29)</f>
        <v>0</v>
      </c>
      <c r="AP29" s="12" t="n">
        <v>35</v>
      </c>
    </row>
    <row r="30" customFormat="false" ht="30" hidden="false" customHeight="true" outlineLevel="0" collapsed="false">
      <c r="A30" s="35" t="n">
        <v>46288</v>
      </c>
      <c r="B30" s="20" t="n">
        <v>36</v>
      </c>
      <c r="C30" s="20"/>
      <c r="D30" s="20"/>
      <c r="E30" s="36"/>
      <c r="F30" s="20" t="n">
        <v>15</v>
      </c>
      <c r="G30" s="37" t="n">
        <v>0.416666666666667</v>
      </c>
      <c r="H30" s="20" t="n">
        <v>22</v>
      </c>
      <c r="I30" s="37" t="n">
        <v>0.611111111111111</v>
      </c>
      <c r="J30" s="20" t="n">
        <v>24</v>
      </c>
      <c r="K30" s="37" t="n">
        <v>0.666666666666667</v>
      </c>
      <c r="L30" s="37" t="n">
        <v>0</v>
      </c>
      <c r="M30" s="37" t="n">
        <v>0</v>
      </c>
      <c r="N30" s="37" t="n">
        <v>0</v>
      </c>
      <c r="O30" s="20" t="n">
        <v>762</v>
      </c>
      <c r="P30" s="38" t="n">
        <v>21.1666666666667</v>
      </c>
      <c r="Q30" s="37" t="n">
        <v>0.0328083989501312</v>
      </c>
      <c r="R30" s="20" t="n">
        <v>741</v>
      </c>
      <c r="S30" s="38" t="n">
        <v>20.5833333333333</v>
      </c>
      <c r="T30" s="39" t="n">
        <v>0</v>
      </c>
      <c r="U30" s="39" t="n">
        <v>0</v>
      </c>
      <c r="V30" s="19"/>
      <c r="W30" s="40" t="n">
        <v>435.6</v>
      </c>
      <c r="X30" s="41" t="n">
        <v>90.88</v>
      </c>
      <c r="Y30" s="40" t="n">
        <f aca="false">W30+X30</f>
        <v>526.48</v>
      </c>
      <c r="Z30" s="42" t="n">
        <f aca="false">IF(B30=0,0,Y30/B30)</f>
        <v>14.6244444444444</v>
      </c>
      <c r="AA30" s="41" t="n">
        <f aca="false">IF(C30=0,0,Y30/C30)</f>
        <v>0</v>
      </c>
      <c r="AB30" s="42" t="n">
        <f aca="false">IF(H30=0,0,Y30/H30)</f>
        <v>23.9309090909091</v>
      </c>
      <c r="AC30" s="19"/>
      <c r="AD30" s="43" t="n">
        <v>526.57</v>
      </c>
      <c r="AE30" s="43" t="n">
        <v>2</v>
      </c>
      <c r="AF30" s="43" t="n">
        <v>0</v>
      </c>
      <c r="AG30" s="43" t="n">
        <v>0</v>
      </c>
      <c r="AH30" s="43" t="n">
        <v>0</v>
      </c>
      <c r="AI30" s="44" t="n">
        <f aca="false">IF(AE30=0,0,AD30/AE30)</f>
        <v>263.285</v>
      </c>
      <c r="AJ30" s="43" t="n">
        <f aca="false">IF(AG30=0,0,AD30/AG30)</f>
        <v>0</v>
      </c>
      <c r="AK30" s="45" t="n">
        <f aca="false">IF(AD30=0,0,AH30/AD30)</f>
        <v>0</v>
      </c>
      <c r="AL30" s="19"/>
      <c r="AM30" s="46" t="n">
        <f aca="false">Y30+AD30</f>
        <v>1053.05</v>
      </c>
      <c r="AN30" s="47" t="n">
        <f aca="false">IF(C30=0,0,AM30/C30)</f>
        <v>0</v>
      </c>
      <c r="AP30" s="12" t="n">
        <v>25</v>
      </c>
    </row>
    <row r="31" customFormat="false" ht="30" hidden="false" customHeight="true" outlineLevel="0" collapsed="false">
      <c r="A31" s="35" t="n">
        <v>46289</v>
      </c>
      <c r="B31" s="20" t="n">
        <v>51</v>
      </c>
      <c r="C31" s="20" t="n">
        <v>5</v>
      </c>
      <c r="D31" s="20" t="n">
        <v>5</v>
      </c>
      <c r="E31" s="36" t="n">
        <v>1</v>
      </c>
      <c r="F31" s="20" t="n">
        <v>40</v>
      </c>
      <c r="G31" s="37" t="n">
        <v>0.784313725490196</v>
      </c>
      <c r="H31" s="20" t="n">
        <v>37</v>
      </c>
      <c r="I31" s="37" t="n">
        <v>0.725490196078431</v>
      </c>
      <c r="J31" s="20" t="n">
        <v>52</v>
      </c>
      <c r="K31" s="37" t="n">
        <v>1.01960784313725</v>
      </c>
      <c r="L31" s="37" t="n">
        <v>0.0980392156862745</v>
      </c>
      <c r="M31" s="37" t="n">
        <v>0.135135135135135</v>
      </c>
      <c r="N31" s="37" t="n">
        <v>0.0961538461538462</v>
      </c>
      <c r="O31" s="20" t="n">
        <v>748</v>
      </c>
      <c r="P31" s="38" t="n">
        <v>14.6666666666667</v>
      </c>
      <c r="Q31" s="37" t="n">
        <v>0.0695187165775401</v>
      </c>
      <c r="R31" s="20" t="n">
        <v>718</v>
      </c>
      <c r="S31" s="38" t="n">
        <v>14.078431372549</v>
      </c>
      <c r="T31" s="39" t="n">
        <v>305</v>
      </c>
      <c r="U31" s="39" t="n">
        <v>244</v>
      </c>
      <c r="V31" s="19"/>
      <c r="W31" s="40" t="n">
        <v>476.13</v>
      </c>
      <c r="X31" s="41" t="n">
        <v>132.22</v>
      </c>
      <c r="Y31" s="40" t="n">
        <f aca="false">W31+X31</f>
        <v>608.35</v>
      </c>
      <c r="Z31" s="42" t="n">
        <f aca="false">IF(B31=0,0,Y31/B31)</f>
        <v>11.928431372549</v>
      </c>
      <c r="AA31" s="41" t="n">
        <f aca="false">IF(C31=0,0,Y31/C31)</f>
        <v>121.67</v>
      </c>
      <c r="AB31" s="42" t="n">
        <f aca="false">IF(H31=0,0,Y31/H31)</f>
        <v>16.4418918918919</v>
      </c>
      <c r="AC31" s="19"/>
      <c r="AD31" s="43" t="n">
        <v>820.19</v>
      </c>
      <c r="AE31" s="43" t="n">
        <v>15</v>
      </c>
      <c r="AF31" s="43" t="n">
        <v>11</v>
      </c>
      <c r="AG31" s="43" t="n">
        <v>0</v>
      </c>
      <c r="AH31" s="43" t="n">
        <v>0</v>
      </c>
      <c r="AI31" s="44" t="n">
        <f aca="false">IF(AE31=0,0,AD31/AE31)</f>
        <v>54.6793333333333</v>
      </c>
      <c r="AJ31" s="43" t="n">
        <f aca="false">IF(AG31=0,0,AD31/AG31)</f>
        <v>0</v>
      </c>
      <c r="AK31" s="45" t="n">
        <f aca="false">IF(AD31=0,0,AH31/AD31)</f>
        <v>0</v>
      </c>
      <c r="AL31" s="19"/>
      <c r="AM31" s="46" t="n">
        <f aca="false">Y31+AD31</f>
        <v>1428.54</v>
      </c>
      <c r="AN31" s="47" t="n">
        <f aca="false">IF(C31=0,0,AM31/C31)</f>
        <v>285.708</v>
      </c>
      <c r="AP31" s="12" t="n">
        <v>52</v>
      </c>
    </row>
    <row r="32" customFormat="false" ht="30" hidden="false" customHeight="true" outlineLevel="0" collapsed="false">
      <c r="A32" s="35" t="n">
        <v>46290</v>
      </c>
      <c r="B32" s="20" t="n">
        <v>32</v>
      </c>
      <c r="C32" s="20" t="n">
        <v>1</v>
      </c>
      <c r="D32" s="20" t="n">
        <v>1</v>
      </c>
      <c r="E32" s="36" t="n">
        <v>1</v>
      </c>
      <c r="F32" s="20" t="n">
        <v>11</v>
      </c>
      <c r="G32" s="37" t="n">
        <v>0.34375</v>
      </c>
      <c r="H32" s="20" t="n">
        <v>13</v>
      </c>
      <c r="I32" s="37" t="n">
        <v>0.40625</v>
      </c>
      <c r="J32" s="20" t="n">
        <v>16</v>
      </c>
      <c r="K32" s="37" t="n">
        <v>0.5</v>
      </c>
      <c r="L32" s="37" t="n">
        <v>0.03125</v>
      </c>
      <c r="M32" s="37" t="n">
        <v>0.0769230769230769</v>
      </c>
      <c r="N32" s="37" t="n">
        <v>0.0666666666666667</v>
      </c>
      <c r="O32" s="20" t="n">
        <v>531</v>
      </c>
      <c r="P32" s="38" t="n">
        <v>16.59375</v>
      </c>
      <c r="Q32" s="37" t="n">
        <v>0.0282485875706215</v>
      </c>
      <c r="R32" s="20" t="n">
        <v>515</v>
      </c>
      <c r="S32" s="38" t="n">
        <v>16.09375</v>
      </c>
      <c r="T32" s="39" t="n">
        <v>49</v>
      </c>
      <c r="U32" s="39" t="n">
        <v>39.2</v>
      </c>
      <c r="V32" s="19"/>
      <c r="W32" s="40" t="n">
        <v>380.37</v>
      </c>
      <c r="X32" s="41" t="n">
        <v>161.24</v>
      </c>
      <c r="Y32" s="40" t="n">
        <f aca="false">W32+X32</f>
        <v>541.61</v>
      </c>
      <c r="Z32" s="42" t="n">
        <f aca="false">IF(B32=0,0,Y32/B32)</f>
        <v>16.9253125</v>
      </c>
      <c r="AA32" s="41" t="n">
        <f aca="false">IF(C32=0,0,Y32/C32)</f>
        <v>541.61</v>
      </c>
      <c r="AB32" s="42" t="n">
        <f aca="false">IF(H32=0,0,Y32/H32)</f>
        <v>41.6623076923077</v>
      </c>
      <c r="AC32" s="19"/>
      <c r="AD32" s="43" t="n">
        <v>443.3</v>
      </c>
      <c r="AE32" s="43" t="n">
        <v>10</v>
      </c>
      <c r="AF32" s="43" t="n">
        <v>0</v>
      </c>
      <c r="AG32" s="43" t="n">
        <v>0</v>
      </c>
      <c r="AH32" s="43" t="n">
        <v>0</v>
      </c>
      <c r="AI32" s="44" t="n">
        <f aca="false">IF(AE32=0,0,AD32/AE32)</f>
        <v>44.33</v>
      </c>
      <c r="AJ32" s="43" t="n">
        <f aca="false">IF(AG32=0,0,AD32/AG32)</f>
        <v>0</v>
      </c>
      <c r="AK32" s="45" t="n">
        <f aca="false">IF(AD32=0,0,AH32/AD32)</f>
        <v>0</v>
      </c>
      <c r="AL32" s="19"/>
      <c r="AM32" s="46" t="n">
        <f aca="false">Y32+AD32</f>
        <v>984.91</v>
      </c>
      <c r="AN32" s="47" t="n">
        <f aca="false">IF(C32=0,0,AM32/C32)</f>
        <v>984.91</v>
      </c>
      <c r="AP32" s="12" t="n">
        <v>15</v>
      </c>
    </row>
    <row r="33" customFormat="false" ht="30" hidden="false" customHeight="true" outlineLevel="0" collapsed="false">
      <c r="A33" s="48" t="s">
        <v>52</v>
      </c>
      <c r="B33" s="49"/>
      <c r="C33" s="49"/>
      <c r="D33" s="49"/>
      <c r="E33" s="50"/>
      <c r="F33" s="49"/>
      <c r="G33" s="51"/>
      <c r="H33" s="49"/>
      <c r="I33" s="51"/>
      <c r="J33" s="49"/>
      <c r="K33" s="51"/>
      <c r="L33" s="51"/>
      <c r="M33" s="51"/>
      <c r="N33" s="51"/>
      <c r="O33" s="49"/>
      <c r="P33" s="52"/>
      <c r="Q33" s="51"/>
      <c r="R33" s="49"/>
      <c r="S33" s="52"/>
      <c r="T33" s="53"/>
      <c r="U33" s="53"/>
      <c r="V33" s="54"/>
      <c r="W33" s="49" t="n">
        <v>358.08</v>
      </c>
      <c r="X33" s="55" t="n">
        <v>251.06</v>
      </c>
      <c r="Y33" s="49" t="n">
        <f aca="false">W33+X33</f>
        <v>609.14</v>
      </c>
      <c r="Z33" s="56"/>
      <c r="AA33" s="55"/>
      <c r="AB33" s="56"/>
      <c r="AC33" s="54"/>
      <c r="AD33" s="55" t="n">
        <v>745.21</v>
      </c>
      <c r="AE33" s="55" t="n">
        <v>7</v>
      </c>
      <c r="AF33" s="55" t="n">
        <v>3</v>
      </c>
      <c r="AG33" s="55" t="n">
        <v>0</v>
      </c>
      <c r="AH33" s="55" t="n">
        <v>0</v>
      </c>
      <c r="AI33" s="56" t="n">
        <f aca="false">IF(AE33=0,0,AD33/AE33)</f>
        <v>106.458571428571</v>
      </c>
      <c r="AJ33" s="55" t="n">
        <f aca="false">IF(AG33=0,0,AD33/AG33)</f>
        <v>0</v>
      </c>
      <c r="AK33" s="57" t="n">
        <f aca="false">IF(AD33=0,0,AH33/AD33)</f>
        <v>0</v>
      </c>
      <c r="AL33" s="54"/>
      <c r="AM33" s="49" t="n">
        <f aca="false">Y33+AD33</f>
        <v>1354.35</v>
      </c>
      <c r="AN33" s="55"/>
      <c r="AP33" s="12" t="n">
        <v>0</v>
      </c>
    </row>
    <row r="34" customFormat="false" ht="30" hidden="false" customHeight="true" outlineLevel="0" collapsed="false">
      <c r="A34" s="58" t="s">
        <v>53</v>
      </c>
      <c r="B34" s="59" t="n">
        <f aca="false">SUM(B28:B33)</f>
        <v>188</v>
      </c>
      <c r="C34" s="59" t="n">
        <f aca="false">SUM(C28:C33)</f>
        <v>7</v>
      </c>
      <c r="D34" s="59" t="n">
        <f aca="false">SUM(D28:D33)</f>
        <v>7</v>
      </c>
      <c r="E34" s="60" t="n">
        <f aca="false">IF(C34=0,0,D34/C34)</f>
        <v>1</v>
      </c>
      <c r="F34" s="59" t="n">
        <f aca="false">SUM(F28:F33)</f>
        <v>135</v>
      </c>
      <c r="G34" s="61" t="n">
        <f aca="false">IF(B34=0,0,F34/B34)</f>
        <v>0.718085106382979</v>
      </c>
      <c r="H34" s="59" t="n">
        <f aca="false">SUM(H28:H33)</f>
        <v>118</v>
      </c>
      <c r="I34" s="61" t="n">
        <f aca="false">IF(B34=0,0,H34/B34)</f>
        <v>0.627659574468085</v>
      </c>
      <c r="J34" s="59" t="n">
        <f aca="false">SUM(J28:J33)</f>
        <v>180</v>
      </c>
      <c r="K34" s="61" t="n">
        <f aca="false">IF(B34=0,0,J34/B34)</f>
        <v>0.957446808510638</v>
      </c>
      <c r="L34" s="61" t="n">
        <f aca="false">IF(B34=0,0,C34/B34)</f>
        <v>0.0372340425531915</v>
      </c>
      <c r="M34" s="61" t="n">
        <f aca="false">IF(H34=0,0,C34/H34)</f>
        <v>0.0593220338983051</v>
      </c>
      <c r="N34" s="61" t="n">
        <f aca="false">IF(AP34=0,0,D34/AP34)</f>
        <v>0.0409356725146199</v>
      </c>
      <c r="O34" s="59" t="n">
        <f aca="false">SUM(O28:O33)</f>
        <v>3247</v>
      </c>
      <c r="P34" s="62" t="n">
        <f aca="false">IF(B34=0,0,O34/B34)</f>
        <v>17.2712765957447</v>
      </c>
      <c r="Q34" s="61" t="n">
        <f aca="false">IF(O34=0,0,AP34/O34)</f>
        <v>0.0526639975361873</v>
      </c>
      <c r="R34" s="59" t="n">
        <f aca="false">SUM(R28:R33)</f>
        <v>3144</v>
      </c>
      <c r="S34" s="62" t="n">
        <f aca="false">IF(B34=0,0,R34/B34)</f>
        <v>16.7234042553192</v>
      </c>
      <c r="T34" s="63" t="n">
        <f aca="false">SUM(T28:T33)</f>
        <v>1333.3</v>
      </c>
      <c r="U34" s="63" t="n">
        <f aca="false">SUM(U28:U33)</f>
        <v>1066.64</v>
      </c>
      <c r="V34" s="64"/>
      <c r="W34" s="59" t="n">
        <f aca="false">SUM(W28:W33)</f>
        <v>2276.71</v>
      </c>
      <c r="X34" s="65" t="n">
        <f aca="false">SUM(X28:X33)</f>
        <v>788.65</v>
      </c>
      <c r="Y34" s="59" t="n">
        <f aca="false">W34+X34</f>
        <v>3065.36</v>
      </c>
      <c r="Z34" s="66" t="n">
        <f aca="false">IF(B34=0,0,Y34/B34)</f>
        <v>16.3051063829787</v>
      </c>
      <c r="AA34" s="65" t="n">
        <f aca="false">IF(C34=0,0,Y34/C34)</f>
        <v>437.908571428571</v>
      </c>
      <c r="AB34" s="66" t="n">
        <f aca="false">IF(H34=0,0,Y34/H34)</f>
        <v>25.9776271186441</v>
      </c>
      <c r="AC34" s="64"/>
      <c r="AD34" s="65" t="n">
        <f aca="false">SUM(AD28:AD33)</f>
        <v>3910.41</v>
      </c>
      <c r="AE34" s="65" t="n">
        <f aca="false">SUM(AE28:AE33)</f>
        <v>45</v>
      </c>
      <c r="AF34" s="65" t="n">
        <f aca="false">SUM(AF28:AF33)</f>
        <v>15</v>
      </c>
      <c r="AG34" s="65" t="n">
        <f aca="false">SUM(AG28:AG33)</f>
        <v>0</v>
      </c>
      <c r="AH34" s="65" t="n">
        <f aca="false">SUM(AH28:AH33)</f>
        <v>0</v>
      </c>
      <c r="AI34" s="66" t="n">
        <f aca="false">IF(AE34=0,0,AD34/AE34)</f>
        <v>86.898</v>
      </c>
      <c r="AJ34" s="65" t="n">
        <f aca="false">IF(AG34=0,0,AD34/AG34)</f>
        <v>0</v>
      </c>
      <c r="AK34" s="67" t="n">
        <f aca="false">IF(AD34=0,0,AH34/AD34)</f>
        <v>0</v>
      </c>
      <c r="AL34" s="64"/>
      <c r="AM34" s="59" t="n">
        <f aca="false">Y34+AD34</f>
        <v>6975.77</v>
      </c>
      <c r="AN34" s="65" t="n">
        <f aca="false">IF(C34=0,0,AM34/C34)</f>
        <v>996.538571428572</v>
      </c>
      <c r="AP34" s="12" t="n">
        <f aca="false">SUM(AP28:AP33)</f>
        <v>171</v>
      </c>
    </row>
    <row r="35" customFormat="false" ht="30" hidden="false" customHeight="true" outlineLevel="0" collapsed="false">
      <c r="A35" s="34" t="s">
        <v>54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P35" s="12"/>
    </row>
    <row r="36" customFormat="false" ht="30" hidden="false" customHeight="true" outlineLevel="0" collapsed="false">
      <c r="A36" s="35" t="n">
        <v>46293</v>
      </c>
      <c r="B36" s="20" t="n">
        <v>4</v>
      </c>
      <c r="C36" s="20"/>
      <c r="D36" s="20"/>
      <c r="E36" s="36"/>
      <c r="F36" s="20" t="n">
        <v>1</v>
      </c>
      <c r="G36" s="37" t="n">
        <v>0.25</v>
      </c>
      <c r="H36" s="20"/>
      <c r="I36" s="37" t="n">
        <v>0</v>
      </c>
      <c r="J36" s="20"/>
      <c r="K36" s="37" t="n">
        <v>0</v>
      </c>
      <c r="L36" s="37" t="n">
        <v>0</v>
      </c>
      <c r="M36" s="37"/>
      <c r="N36" s="37" t="n">
        <v>0</v>
      </c>
      <c r="O36" s="20"/>
      <c r="P36" s="38" t="n">
        <v>0</v>
      </c>
      <c r="Q36" s="37"/>
      <c r="R36" s="20"/>
      <c r="S36" s="38" t="n">
        <v>0</v>
      </c>
      <c r="T36" s="39" t="n">
        <v>0</v>
      </c>
      <c r="U36" s="39" t="n">
        <v>0</v>
      </c>
      <c r="V36" s="19"/>
      <c r="W36" s="40" t="n">
        <v>81.09</v>
      </c>
      <c r="X36" s="41" t="n">
        <v>81.51</v>
      </c>
      <c r="Y36" s="40" t="n">
        <f aca="false">W36+X36</f>
        <v>162.6</v>
      </c>
      <c r="Z36" s="42" t="n">
        <f aca="false">IF(B36=0,0,Y36/B36)</f>
        <v>40.65</v>
      </c>
      <c r="AA36" s="41" t="n">
        <f aca="false">IF(C36=0,0,Y36/C36)</f>
        <v>0</v>
      </c>
      <c r="AB36" s="42" t="n">
        <f aca="false">IF(H36=0,0,Y36/H36)</f>
        <v>0</v>
      </c>
      <c r="AC36" s="19"/>
      <c r="AD36" s="43" t="n">
        <v>517.88</v>
      </c>
      <c r="AE36" s="43" t="n">
        <v>3</v>
      </c>
      <c r="AF36" s="43" t="n">
        <v>2</v>
      </c>
      <c r="AG36" s="43" t="n">
        <v>0</v>
      </c>
      <c r="AH36" s="43" t="n">
        <v>0</v>
      </c>
      <c r="AI36" s="44" t="n">
        <f aca="false">IF(AE36=0,0,AD36/AE36)</f>
        <v>172.626666666667</v>
      </c>
      <c r="AJ36" s="43" t="n">
        <f aca="false">IF(AG36=0,0,AD36/AG36)</f>
        <v>0</v>
      </c>
      <c r="AK36" s="45" t="n">
        <f aca="false">IF(AD36=0,0,AH36/AD36)</f>
        <v>0</v>
      </c>
      <c r="AL36" s="19"/>
      <c r="AM36" s="46" t="n">
        <f aca="false">Y36+AD36</f>
        <v>680.48</v>
      </c>
      <c r="AN36" s="47" t="n">
        <f aca="false">IF(C36=0,0,AM36/C36)</f>
        <v>0</v>
      </c>
      <c r="AP36" s="12" t="n">
        <v>1</v>
      </c>
    </row>
    <row r="37" customFormat="false" ht="30" hidden="false" customHeight="true" outlineLevel="0" collapsed="false">
      <c r="A37" s="58" t="s">
        <v>55</v>
      </c>
      <c r="B37" s="59" t="n">
        <f aca="false">SUM(B36)</f>
        <v>4</v>
      </c>
      <c r="C37" s="59" t="n">
        <f aca="false">SUM(C36)</f>
        <v>0</v>
      </c>
      <c r="D37" s="59" t="n">
        <f aca="false">SUM(D36)</f>
        <v>0</v>
      </c>
      <c r="E37" s="60" t="n">
        <f aca="false">IF(C37=0,0,D37/C37)</f>
        <v>0</v>
      </c>
      <c r="F37" s="59" t="n">
        <f aca="false">SUM(F36)</f>
        <v>1</v>
      </c>
      <c r="G37" s="61" t="n">
        <f aca="false">IF(B37=0,0,F37/B37)</f>
        <v>0.25</v>
      </c>
      <c r="H37" s="59" t="n">
        <f aca="false">SUM(H36)</f>
        <v>0</v>
      </c>
      <c r="I37" s="61" t="n">
        <f aca="false">IF(B37=0,0,H37/B37)</f>
        <v>0</v>
      </c>
      <c r="J37" s="59" t="n">
        <f aca="false">SUM(J36)</f>
        <v>0</v>
      </c>
      <c r="K37" s="61" t="n">
        <f aca="false">IF(B37=0,0,J37/B37)</f>
        <v>0</v>
      </c>
      <c r="L37" s="61" t="n">
        <f aca="false">IF(B37=0,0,C37/B37)</f>
        <v>0</v>
      </c>
      <c r="M37" s="61" t="n">
        <f aca="false">IF(H37=0,0,C37/H37)</f>
        <v>0</v>
      </c>
      <c r="N37" s="61" t="n">
        <f aca="false">IF(AP37=0,0,D37/AP37)</f>
        <v>0</v>
      </c>
      <c r="O37" s="59" t="n">
        <f aca="false">SUM(O36)</f>
        <v>0</v>
      </c>
      <c r="P37" s="62" t="n">
        <f aca="false">IF(B37=0,0,O37/B37)</f>
        <v>0</v>
      </c>
      <c r="Q37" s="61" t="n">
        <f aca="false">IF(O37=0,0,AP37/O37)</f>
        <v>0</v>
      </c>
      <c r="R37" s="59" t="n">
        <f aca="false">SUM(R36)</f>
        <v>0</v>
      </c>
      <c r="S37" s="62" t="n">
        <f aca="false">IF(B37=0,0,R37/B37)</f>
        <v>0</v>
      </c>
      <c r="T37" s="63" t="n">
        <f aca="false">SUM(T36)</f>
        <v>0</v>
      </c>
      <c r="U37" s="63" t="n">
        <f aca="false">SUM(U36)</f>
        <v>0</v>
      </c>
      <c r="V37" s="64"/>
      <c r="W37" s="59" t="n">
        <f aca="false">SUM(W36)</f>
        <v>81.09</v>
      </c>
      <c r="X37" s="65" t="n">
        <f aca="false">SUM(X36)</f>
        <v>81.51</v>
      </c>
      <c r="Y37" s="59" t="n">
        <f aca="false">W37+X37</f>
        <v>162.6</v>
      </c>
      <c r="Z37" s="66" t="n">
        <f aca="false">IF(B37=0,0,Y37/B37)</f>
        <v>40.65</v>
      </c>
      <c r="AA37" s="65" t="n">
        <f aca="false">IF(C37=0,0,Y37/C37)</f>
        <v>0</v>
      </c>
      <c r="AB37" s="66" t="n">
        <f aca="false">IF(H37=0,0,Y37/H37)</f>
        <v>0</v>
      </c>
      <c r="AC37" s="64"/>
      <c r="AD37" s="65" t="n">
        <f aca="false">SUM(AD36)</f>
        <v>517.88</v>
      </c>
      <c r="AE37" s="65" t="n">
        <f aca="false">SUM(AE36)</f>
        <v>3</v>
      </c>
      <c r="AF37" s="65" t="n">
        <f aca="false">SUM(AF36)</f>
        <v>2</v>
      </c>
      <c r="AG37" s="65" t="n">
        <f aca="false">SUM(AG36)</f>
        <v>0</v>
      </c>
      <c r="AH37" s="65" t="n">
        <f aca="false">SUM(AH36)</f>
        <v>0</v>
      </c>
      <c r="AI37" s="66" t="n">
        <f aca="false">IF(AE37=0,0,AD37/AE37)</f>
        <v>172.626666666667</v>
      </c>
      <c r="AJ37" s="65" t="n">
        <f aca="false">IF(AG37=0,0,AD37/AG37)</f>
        <v>0</v>
      </c>
      <c r="AK37" s="67" t="n">
        <f aca="false">IF(AD37=0,0,AH37/AD37)</f>
        <v>0</v>
      </c>
      <c r="AL37" s="64"/>
      <c r="AM37" s="59" t="n">
        <f aca="false">Y37+AD37</f>
        <v>680.48</v>
      </c>
      <c r="AN37" s="65" t="n">
        <f aca="false">IF(C37=0,0,AM37/C37)</f>
        <v>0</v>
      </c>
      <c r="AP37" s="12" t="n">
        <f aca="false">SUM(AP36)</f>
        <v>1</v>
      </c>
    </row>
    <row r="38" customFormat="false" ht="30" hidden="false" customHeight="true" outlineLevel="0" collapsed="false">
      <c r="A38" s="68"/>
      <c r="B38" s="69"/>
      <c r="C38" s="69"/>
      <c r="D38" s="69"/>
      <c r="E38" s="70"/>
      <c r="F38" s="69"/>
      <c r="G38" s="71"/>
      <c r="H38" s="69"/>
      <c r="I38" s="71"/>
      <c r="J38" s="69"/>
      <c r="K38" s="71"/>
      <c r="L38" s="71"/>
      <c r="M38" s="71"/>
      <c r="N38" s="71"/>
      <c r="O38" s="69"/>
      <c r="P38" s="72"/>
      <c r="Q38" s="71"/>
      <c r="R38" s="69"/>
      <c r="S38" s="72"/>
      <c r="T38" s="73"/>
      <c r="U38" s="73"/>
      <c r="W38" s="69"/>
      <c r="X38" s="74"/>
      <c r="Y38" s="69"/>
      <c r="Z38" s="75"/>
      <c r="AA38" s="74"/>
      <c r="AB38" s="75"/>
      <c r="AD38" s="74"/>
      <c r="AE38" s="74"/>
      <c r="AF38" s="74"/>
      <c r="AG38" s="74"/>
      <c r="AH38" s="74"/>
      <c r="AI38" s="75"/>
      <c r="AJ38" s="74"/>
      <c r="AK38" s="76"/>
      <c r="AM38" s="69"/>
      <c r="AN38" s="74"/>
      <c r="AP38" s="12"/>
    </row>
    <row r="39" customFormat="false" ht="30" hidden="false" customHeight="true" outlineLevel="0" collapsed="false">
      <c r="A39" s="77" t="s">
        <v>56</v>
      </c>
      <c r="B39" s="78" t="n">
        <f aca="false">SUM(B7,B8,B9,B10,B13,B14,B15,B16,B17)</f>
        <v>535</v>
      </c>
      <c r="C39" s="78" t="n">
        <f aca="false">SUM(C7,C8,C9,C10,C13,C14,C15,C16,C17)</f>
        <v>5</v>
      </c>
      <c r="D39" s="78" t="n">
        <f aca="false">SUM(D7,D8,D9,D10,D13,D14,D15,D16,D17)</f>
        <v>5</v>
      </c>
      <c r="E39" s="79" t="n">
        <f aca="false">IF(C39=0,0,D39/C39)</f>
        <v>1</v>
      </c>
      <c r="F39" s="78" t="n">
        <f aca="false">SUM(F7,F8,F9,F10,F13,F14,F15,F16,F17)</f>
        <v>192</v>
      </c>
      <c r="G39" s="80" t="n">
        <f aca="false">IF(B39=0,0,F39/B39)</f>
        <v>0.358878504672897</v>
      </c>
      <c r="H39" s="78" t="n">
        <f aca="false">SUM(H7,H8,H9,H10,H13,H14,H15,H16,H17)</f>
        <v>173</v>
      </c>
      <c r="I39" s="80" t="n">
        <f aca="false">IF(B39=0,0,H39/B39)</f>
        <v>0.323364485981308</v>
      </c>
      <c r="J39" s="78" t="n">
        <f aca="false">SUM(J7,J8,J9,J10,J13,J14,J15,J16,J17)</f>
        <v>301</v>
      </c>
      <c r="K39" s="80" t="n">
        <f aca="false">IF(B39=0,0,J39/B39)</f>
        <v>0.562616822429907</v>
      </c>
      <c r="L39" s="80" t="n">
        <f aca="false">IF(B39=0,0,C39/B39)</f>
        <v>0.00934579439252336</v>
      </c>
      <c r="M39" s="80" t="n">
        <f aca="false">IF(H39=0,0,C39/H39)</f>
        <v>0.0289017341040462</v>
      </c>
      <c r="N39" s="80" t="n">
        <f aca="false">IF(AP39=0,0,D39/AP39)</f>
        <v>0.0230414746543779</v>
      </c>
      <c r="O39" s="78" t="n">
        <f aca="false">SUM(O7,O8,O9,O10,O13,O14,O15,O16,O17)</f>
        <v>4902</v>
      </c>
      <c r="P39" s="81" t="n">
        <f aca="false">IF(B39=0,0,O39/B39)</f>
        <v>9.16261682242991</v>
      </c>
      <c r="Q39" s="80" t="n">
        <f aca="false">IF(O39=0,0,AP39/O39)</f>
        <v>0.0442676458588331</v>
      </c>
      <c r="R39" s="78" t="n">
        <f aca="false">SUM(R7,R8,R9,R10,R13,R14,R15,R16,R17)</f>
        <v>4597</v>
      </c>
      <c r="S39" s="81" t="n">
        <f aca="false">IF(B39=0,0,R39/B39)</f>
        <v>8.59252336448598</v>
      </c>
      <c r="T39" s="82" t="n">
        <f aca="false">SUM(T7,T8,T9,T10,T13,T14,T15,T16,T17)</f>
        <v>5511.7</v>
      </c>
      <c r="U39" s="82" t="n">
        <f aca="false">SUM(U7,U8,U9,U10,U13,U14,U15,U16,U17)</f>
        <v>4409.36</v>
      </c>
      <c r="V39" s="83"/>
      <c r="W39" s="78"/>
      <c r="X39" s="84"/>
      <c r="Y39" s="78"/>
      <c r="Z39" s="85"/>
      <c r="AA39" s="84"/>
      <c r="AB39" s="85"/>
      <c r="AC39" s="83"/>
      <c r="AD39" s="84"/>
      <c r="AE39" s="84"/>
      <c r="AF39" s="84"/>
      <c r="AG39" s="84"/>
      <c r="AH39" s="84"/>
      <c r="AI39" s="85"/>
      <c r="AJ39" s="84"/>
      <c r="AK39" s="86"/>
      <c r="AL39" s="83"/>
      <c r="AM39" s="78"/>
      <c r="AN39" s="84"/>
      <c r="AP39" s="12" t="n">
        <f aca="false">SUM(AP7,AP8,AP9,AP10,AP13,AP14,AP15,AP16,AP17)</f>
        <v>217</v>
      </c>
    </row>
    <row r="40" customFormat="false" ht="30" hidden="false" customHeight="true" outlineLevel="0" collapsed="false">
      <c r="A40" s="87" t="s">
        <v>57</v>
      </c>
      <c r="B40" s="88" t="n">
        <f aca="false">SUM(B20,B21,B22,B23,B24,B25,B28,B29,B30,B31,B32,B33,B36)</f>
        <v>354</v>
      </c>
      <c r="C40" s="88" t="n">
        <f aca="false">SUM(C20,C21,C22,C23,C24,C25,C28,C29,C30,C31,C32,C33,C36)</f>
        <v>9</v>
      </c>
      <c r="D40" s="88" t="n">
        <f aca="false">SUM(D20,D21,D22,D23,D24,D25,D28,D29,D30,D31,D32,D33,D36)</f>
        <v>9</v>
      </c>
      <c r="E40" s="89" t="n">
        <f aca="false">IF(C40=0,0,D40/C40)</f>
        <v>1</v>
      </c>
      <c r="F40" s="88" t="n">
        <f aca="false">SUM(F20,F21,F22,F23,F24,F25,F28,F29,F30,F31,F32,F33,F36)</f>
        <v>193</v>
      </c>
      <c r="G40" s="90" t="n">
        <f aca="false">IF(B40=0,0,F40/B40)</f>
        <v>0.545197740112994</v>
      </c>
      <c r="H40" s="88" t="n">
        <f aca="false">SUM(H20,H21,H22,H23,H24,H25,H28,H29,H30,H31,H32,H33,H36)</f>
        <v>192</v>
      </c>
      <c r="I40" s="90" t="n">
        <f aca="false">IF(B40=0,0,H40/B40)</f>
        <v>0.542372881355932</v>
      </c>
      <c r="J40" s="88" t="n">
        <f aca="false">SUM(J20,J21,J22,J23,J24,J25,J28,J29,J30,J31,J32,J33,J36)</f>
        <v>294</v>
      </c>
      <c r="K40" s="90" t="n">
        <f aca="false">IF(B40=0,0,J40/B40)</f>
        <v>0.830508474576271</v>
      </c>
      <c r="L40" s="90" t="n">
        <f aca="false">IF(B40=0,0,C40/B40)</f>
        <v>0.0254237288135593</v>
      </c>
      <c r="M40" s="90" t="n">
        <f aca="false">IF(H40=0,0,C40/H40)</f>
        <v>0.046875</v>
      </c>
      <c r="N40" s="90" t="n">
        <f aca="false">IF(AP40=0,0,D40/AP40)</f>
        <v>0.0357142857142857</v>
      </c>
      <c r="O40" s="88" t="n">
        <f aca="false">SUM(O20,O21,O22,O23,O24,O25,O28,O29,O30,O31,O32,O33,O36)</f>
        <v>5486</v>
      </c>
      <c r="P40" s="91" t="n">
        <f aca="false">IF(B40=0,0,O40/B40)</f>
        <v>15.4971751412429</v>
      </c>
      <c r="Q40" s="90" t="n">
        <f aca="false">IF(O40=0,0,AP40/O40)</f>
        <v>0.045935107546482</v>
      </c>
      <c r="R40" s="88" t="n">
        <f aca="false">SUM(R20,R21,R22,R23,R24,R25,R28,R29,R30,R31,R32,R33,R36)</f>
        <v>5237</v>
      </c>
      <c r="S40" s="91" t="n">
        <f aca="false">IF(B40=0,0,R40/B40)</f>
        <v>14.7937853107345</v>
      </c>
      <c r="T40" s="92" t="n">
        <f aca="false">SUM(T20,T21,T22,T23,T24,T25,T28,T29,T30,T31,T32,T33,T36)</f>
        <v>3067.7</v>
      </c>
      <c r="U40" s="92" t="n">
        <f aca="false">SUM(U20,U21,U22,U23,U24,U25,U28,U29,U30,U31,U32,U33,U36)</f>
        <v>2454.16</v>
      </c>
      <c r="V40" s="93"/>
      <c r="W40" s="88" t="n">
        <f aca="false">SUM(W20,W21,W22,W23,W24,W25,W28,W29,W30,W31,W32,W33,W36)</f>
        <v>5442.09</v>
      </c>
      <c r="X40" s="94" t="n">
        <f aca="false">SUM(X20,X21,X22,X23,X24,X25,X28,X29,X30,X31,X32,X33,X36)</f>
        <v>1615.11</v>
      </c>
      <c r="Y40" s="88" t="n">
        <f aca="false">W40+X40</f>
        <v>7057.2</v>
      </c>
      <c r="Z40" s="95" t="n">
        <f aca="false">IF(B40=0,0,Y40/B40)</f>
        <v>19.935593220339</v>
      </c>
      <c r="AA40" s="94" t="n">
        <f aca="false">IF(C40=0,0,Y40/C40)</f>
        <v>784.133333333333</v>
      </c>
      <c r="AB40" s="95" t="n">
        <f aca="false">IF(H40=0,0,Y40/H40)</f>
        <v>36.75625</v>
      </c>
      <c r="AC40" s="93"/>
      <c r="AD40" s="94" t="n">
        <f aca="false">SUM(AD20,AD21,AD22,AD23,AD24,AD25,AD28,AD29,AD30,AD31,AD32,AD33,AD36)</f>
        <v>9447.29</v>
      </c>
      <c r="AE40" s="94" t="n">
        <f aca="false">SUM(AE20,AE21,AE22,AE23,AE24,AE25,AE28,AE29,AE30,AE31,AE32,AE33,AE36)</f>
        <v>68</v>
      </c>
      <c r="AF40" s="94" t="n">
        <f aca="false">SUM(AF20,AF21,AF22,AF23,AF24,AF25,AF28,AF29,AF30,AF31,AF32,AF33,AF36)</f>
        <v>27</v>
      </c>
      <c r="AG40" s="94" t="n">
        <f aca="false">SUM(AG20,AG21,AG22,AG23,AG24,AG25,AG28,AG29,AG30,AG31,AG32,AG33,AG36)</f>
        <v>1</v>
      </c>
      <c r="AH40" s="94" t="n">
        <f aca="false">SUM(AH20,AH21,AH22,AH23,AH24,AH25,AH28,AH29,AH30,AH31,AH32,AH33,AH36)</f>
        <v>179</v>
      </c>
      <c r="AI40" s="95" t="n">
        <f aca="false">IF(AE40=0,0,AD40/AE40)</f>
        <v>138.930735294118</v>
      </c>
      <c r="AJ40" s="94" t="n">
        <f aca="false">IF(AG40=0,0,AD40/AG40)</f>
        <v>9447.29</v>
      </c>
      <c r="AK40" s="96" t="n">
        <f aca="false">IF(AD40=0,0,AH40/AD40)</f>
        <v>0.0189472324867766</v>
      </c>
      <c r="AL40" s="93"/>
      <c r="AM40" s="88" t="n">
        <f aca="false">Y40+AD40</f>
        <v>16504.49</v>
      </c>
      <c r="AN40" s="94" t="n">
        <f aca="false">IF(C40=0,0,AM40/C40)</f>
        <v>1833.83222222222</v>
      </c>
      <c r="AP40" s="12" t="n">
        <f aca="false">SUM(AP20,AP21,AP22,AP23,AP24,AP25,AP28,AP29,AP30,AP31,AP32,AP33,AP36)</f>
        <v>252</v>
      </c>
    </row>
    <row r="41" customFormat="false" ht="30" hidden="false" customHeight="true" outlineLevel="0" collapsed="false">
      <c r="A41" s="97" t="s">
        <v>58</v>
      </c>
      <c r="B41" s="98" t="n">
        <f aca="false">SUM(B7,B8,B9,B10,B13,B14,B15,B16,B17,B20,B21,B22,B23,B24,B25,B28,B29,B30,B31,B32,B33,B36)</f>
        <v>889</v>
      </c>
      <c r="C41" s="98" t="n">
        <f aca="false">SUM(C7,C8,C9,C10,C13,C14,C15,C16,C17,C20,C21,C22,C23,C24,C25,C28,C29,C30,C31,C32,C33,C36)</f>
        <v>14</v>
      </c>
      <c r="D41" s="98" t="n">
        <f aca="false">SUM(D7,D8,D9,D10,D13,D14,D15,D16,D17,D20,D21,D22,D23,D24,D25,D28,D29,D30,D31,D32,D33,D36)</f>
        <v>14</v>
      </c>
      <c r="E41" s="99" t="n">
        <f aca="false">IF(C41=0,0,D41/C41)</f>
        <v>1</v>
      </c>
      <c r="F41" s="98" t="n">
        <f aca="false">SUM(F7,F8,F9,F10,F13,F14,F15,F16,F17,F20,F21,F22,F23,F24,F25,F28,F29,F30,F31,F32,F33,F36)</f>
        <v>385</v>
      </c>
      <c r="G41" s="100" t="n">
        <f aca="false">IF(B41=0,0,F41/B41)</f>
        <v>0.433070866141732</v>
      </c>
      <c r="H41" s="98" t="n">
        <f aca="false">SUM(H7,H8,H9,H10,H13,H14,H15,H16,H17,H20,H21,H22,H23,H24,H25,H28,H29,H30,H31,H32,H33,H36)</f>
        <v>365</v>
      </c>
      <c r="I41" s="100" t="n">
        <f aca="false">IF(B41=0,0,H41/B41)</f>
        <v>0.410573678290214</v>
      </c>
      <c r="J41" s="98" t="n">
        <f aca="false">SUM(J7,J8,J9,J10,J13,J14,J15,J16,J17,J20,J21,J22,J23,J24,J25,J28,J29,J30,J31,J32,J33,J36)</f>
        <v>595</v>
      </c>
      <c r="K41" s="100" t="n">
        <f aca="false">IF(B41=0,0,J41/B41)</f>
        <v>0.669291338582677</v>
      </c>
      <c r="L41" s="100" t="n">
        <f aca="false">IF(B41=0,0,C41/B41)</f>
        <v>0.015748031496063</v>
      </c>
      <c r="M41" s="100" t="n">
        <f aca="false">IF(H41=0,0,C41/H41)</f>
        <v>0.0383561643835616</v>
      </c>
      <c r="N41" s="100" t="n">
        <f aca="false">IF(AP41=0,0,D41/AP41)</f>
        <v>0.0298507462686567</v>
      </c>
      <c r="O41" s="98" t="n">
        <f aca="false">SUM(O7,O8,O9,O10,O13,O14,O15,O16,O17,O20,O21,O22,O23,O24,O25,O28,O29,O30,O31,O32,O33,O36)</f>
        <v>10388</v>
      </c>
      <c r="P41" s="101" t="n">
        <f aca="false">IF(B41=0,0,O41/B41)</f>
        <v>11.6850393700787</v>
      </c>
      <c r="Q41" s="100" t="n">
        <f aca="false">IF(O41=0,0,AP41/O41)</f>
        <v>0.0451482479784367</v>
      </c>
      <c r="R41" s="98" t="n">
        <f aca="false">SUM(R7,R8,R9,R10,R13,R14,R15,R16,R17,R20,R21,R22,R23,R24,R25,R28,R29,R30,R31,R32,R33,R36)</f>
        <v>9834</v>
      </c>
      <c r="S41" s="101" t="n">
        <f aca="false">IF(B41=0,0,R41/B41)</f>
        <v>11.0618672665917</v>
      </c>
      <c r="T41" s="102" t="n">
        <f aca="false">SUM(T7,T8,T9,T10,T13,T14,T15,T16,T17,T20,T21,T22,T23,T24,T25,T28,T29,T30,T31,T32,T33,T36)</f>
        <v>8579.4</v>
      </c>
      <c r="U41" s="102" t="n">
        <f aca="false">SUM(U7,U8,U9,U10,U13,U14,U15,U16,U17,U20,U21,U22,U23,U24,U25,U28,U29,U30,U31,U32,U33,U36)</f>
        <v>6863.52</v>
      </c>
      <c r="V41" s="103"/>
      <c r="W41" s="98" t="n">
        <f aca="false">SUM(W7,W8,W9,W10,W13,W14,W15,W16,W17,W20,W21,W22,W23,W24,W25,W28,W29,W30,W31,W32,W33,W36)</f>
        <v>5442.09</v>
      </c>
      <c r="X41" s="104" t="n">
        <f aca="false">SUM(X7,X8,X9,X10,X13,X14,X15,X16,X17,X20,X21,X22,X23,X24,X25,X28,X29,X30,X31,X32,X33,X36)</f>
        <v>1615.11</v>
      </c>
      <c r="Y41" s="98" t="n">
        <f aca="false">W41+X41</f>
        <v>7057.2</v>
      </c>
      <c r="Z41" s="105" t="s">
        <v>59</v>
      </c>
      <c r="AA41" s="106" t="s">
        <v>59</v>
      </c>
      <c r="AB41" s="105" t="s">
        <v>59</v>
      </c>
      <c r="AC41" s="103"/>
      <c r="AD41" s="104" t="n">
        <f aca="false">SUM(AD7,AD8,AD9,AD10,AD13,AD14,AD15,AD16,AD17,AD20,AD21,AD22,AD23,AD24,AD25,AD28,AD29,AD30,AD31,AD32,AD33,AD36)</f>
        <v>9447.29</v>
      </c>
      <c r="AE41" s="104" t="n">
        <f aca="false">SUM(AE7,AE8,AE9,AE10,AE13,AE14,AE15,AE16,AE17,AE20,AE21,AE22,AE23,AE24,AE25,AE28,AE29,AE30,AE31,AE32,AE33,AE36)</f>
        <v>68</v>
      </c>
      <c r="AF41" s="104" t="n">
        <f aca="false">SUM(AF7,AF8,AF9,AF10,AF13,AF14,AF15,AF16,AF17,AF20,AF21,AF22,AF23,AF24,AF25,AF28,AF29,AF30,AF31,AF32,AF33,AF36)</f>
        <v>27</v>
      </c>
      <c r="AG41" s="104" t="n">
        <f aca="false">SUM(AG7,AG8,AG9,AG10,AG13,AG14,AG15,AG16,AG17,AG20,AG21,AG22,AG23,AG24,AG25,AG28,AG29,AG30,AG31,AG32,AG33,AG36)</f>
        <v>1</v>
      </c>
      <c r="AH41" s="104" t="n">
        <f aca="false">SUM(AH7,AH8,AH9,AH10,AH13,AH14,AH15,AH16,AH17,AH20,AH21,AH22,AH23,AH24,AH25,AH28,AH29,AH30,AH31,AH32,AH33,AH36)</f>
        <v>179</v>
      </c>
      <c r="AI41" s="107" t="n">
        <f aca="false">IF(AE41=0,0,AD41/AE41)</f>
        <v>138.930735294118</v>
      </c>
      <c r="AJ41" s="104" t="n">
        <f aca="false">IF(AG41=0,0,AD41/AG41)</f>
        <v>9447.29</v>
      </c>
      <c r="AK41" s="108" t="n">
        <f aca="false">IF(AD41=0,0,AH41/AD41)</f>
        <v>0.0189472324867766</v>
      </c>
      <c r="AL41" s="103"/>
      <c r="AM41" s="98" t="n">
        <f aca="false">Y41+AD41</f>
        <v>16504.49</v>
      </c>
      <c r="AN41" s="106" t="s">
        <v>59</v>
      </c>
      <c r="AP41" s="12" t="n">
        <f aca="false">SUM(AP7,AP8,AP9,AP10,AP13,AP14,AP15,AP16,AP17,AP20,AP21,AP22,AP23,AP24,AP25,AP28,AP29,AP30,AP31,AP32,AP33,AP36)</f>
        <v>469</v>
      </c>
    </row>
    <row r="43" customFormat="false" ht="30" hidden="false" customHeight="false" outlineLevel="0" collapsed="false">
      <c r="A43" s="109" t="s">
        <v>60</v>
      </c>
      <c r="B43" s="110" t="n">
        <v>889</v>
      </c>
      <c r="C43" s="110" t="n">
        <v>14</v>
      </c>
      <c r="D43" s="110" t="n">
        <v>14</v>
      </c>
      <c r="E43" s="111" t="n">
        <v>1</v>
      </c>
      <c r="F43" s="110" t="n">
        <v>385</v>
      </c>
      <c r="G43" s="112" t="n">
        <v>0.433070866141732</v>
      </c>
      <c r="H43" s="110" t="n">
        <v>365</v>
      </c>
      <c r="I43" s="112" t="n">
        <v>0.410573678290214</v>
      </c>
      <c r="J43" s="110" t="n">
        <v>595</v>
      </c>
      <c r="K43" s="112" t="n">
        <v>0.669291338582677</v>
      </c>
      <c r="L43" s="112" t="n">
        <v>0.015748031496063</v>
      </c>
      <c r="M43" s="112" t="n">
        <v>0.0383561643835616</v>
      </c>
      <c r="N43" s="112" t="n">
        <v>0.0298507462686567</v>
      </c>
      <c r="O43" s="110" t="n">
        <v>10388</v>
      </c>
      <c r="P43" s="113" t="n">
        <v>11.6850393700787</v>
      </c>
      <c r="Q43" s="112" t="n">
        <v>0.0451482479784367</v>
      </c>
      <c r="R43" s="110" t="n">
        <v>9834</v>
      </c>
      <c r="S43" s="113" t="n">
        <v>11.0618672665917</v>
      </c>
      <c r="T43" s="114" t="n">
        <v>8579.4</v>
      </c>
      <c r="U43" s="114" t="n">
        <v>6863.52</v>
      </c>
    </row>
    <row r="44" customFormat="false" ht="30" hidden="false" customHeight="false" outlineLevel="0" collapsed="false">
      <c r="A44" s="109" t="s">
        <v>61</v>
      </c>
      <c r="B44" s="115" t="n">
        <f aca="false">ROUND(B41-B43,2)</f>
        <v>0</v>
      </c>
      <c r="C44" s="115" t="n">
        <f aca="false">ROUND(C41-C43,2)</f>
        <v>0</v>
      </c>
      <c r="D44" s="115" t="n">
        <f aca="false">ROUND(D41-D43,2)</f>
        <v>0</v>
      </c>
      <c r="F44" s="115" t="n">
        <f aca="false">ROUND(F41-F43,2)</f>
        <v>0</v>
      </c>
      <c r="H44" s="115" t="n">
        <f aca="false">ROUND(H41-H43,2)</f>
        <v>0</v>
      </c>
      <c r="J44" s="115" t="n">
        <f aca="false">ROUND(J41-J43,2)</f>
        <v>0</v>
      </c>
      <c r="O44" s="115" t="n">
        <f aca="false">ROUND(O41-O43,2)</f>
        <v>0</v>
      </c>
      <c r="R44" s="115" t="n">
        <f aca="false">ROUND(R41-R43,2)</f>
        <v>0</v>
      </c>
      <c r="T44" s="115" t="n">
        <f aca="false">ROUND(T41-T43,2)</f>
        <v>0</v>
      </c>
      <c r="U44" s="115" t="n">
        <f aca="false">ROUND(U41-U43,2)</f>
        <v>0</v>
      </c>
    </row>
  </sheetData>
  <mergeCells count="11">
    <mergeCell ref="A1:AN1"/>
    <mergeCell ref="A2:AN2"/>
    <mergeCell ref="A4:U4"/>
    <mergeCell ref="W4:AB4"/>
    <mergeCell ref="AD4:AK4"/>
    <mergeCell ref="AM4:AN4"/>
    <mergeCell ref="A6:AN6"/>
    <mergeCell ref="A12:AN12"/>
    <mergeCell ref="A19:AN19"/>
    <mergeCell ref="A27:AN27"/>
    <mergeCell ref="A35:AN35"/>
  </mergeCells>
  <conditionalFormatting sqref="AM20:AM36">
    <cfRule type="dataBar" priority="2">
      <dataBar showValue="1" minLength="10" maxLength="90">
        <cfvo type="num" val="0"/>
        <cfvo type="max" val="0"/>
        <color rgb="FF9DB4D6"/>
      </dataBar>
      <extLst>
        <ext xmlns:x14="http://schemas.microsoft.com/office/spreadsheetml/2009/9/main" uri="{B025F937-C7B1-47D3-B67F-A62EFF666E3E}">
          <x14:id>{7FE32ABF-8EF4-4E5F-BBF0-5982DB6AFCD1}</x14:id>
        </ext>
      </extLst>
    </cfRule>
  </conditionalFormatting>
  <conditionalFormatting sqref="B20:B36">
    <cfRule type="dataBar" priority="3">
      <dataBar showValue="1" minLength="10" maxLength="90">
        <cfvo type="num" val="0"/>
        <cfvo type="max" val="0"/>
        <color rgb="FFC7D2E3"/>
      </dataBar>
      <extLst>
        <ext xmlns:x14="http://schemas.microsoft.com/office/spreadsheetml/2009/9/main" uri="{B025F937-C7B1-47D3-B67F-A62EFF666E3E}">
          <x14:id>{465BD749-7033-423F-8572-4BE2AD2421B5}</x14:id>
        </ext>
      </extLst>
    </cfRule>
  </conditionalFormatting>
  <conditionalFormatting sqref="C20:C36">
    <cfRule type="cellIs" priority="4" operator="greaterThan" aboveAverage="0" equalAverage="0" bottom="0" percent="0" rank="0" text="" dxfId="0">
      <formula>0</formula>
    </cfRule>
  </conditionalFormatting>
  <conditionalFormatting sqref="AG20:AG36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3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E32ABF-8EF4-4E5F-BBF0-5982DB6AFCD1}">
            <x14:dataBar minLength="10" maxLength="90" axisPosition="none" gradient="true">
              <x14:cfvo type="num">
                <xm:f>0</xm:f>
              </x14:cfvo>
              <x14:cfvo type="max"/>
              <x14:negativeFillColor rgb="FF9DB4D6"/>
              <x14:axisColor rgb="FF000000"/>
            </x14:dataBar>
          </x14:cfRule>
          <xm:sqref>AM20:AM36</xm:sqref>
        </x14:conditionalFormatting>
        <x14:conditionalFormatting xmlns:xm="http://schemas.microsoft.com/office/excel/2006/main">
          <x14:cfRule type="dataBar" id="{465BD749-7033-423F-8572-4BE2AD2421B5}">
            <x14:dataBar minLength="10" maxLength="90" axisPosition="none" gradient="true">
              <x14:cfvo type="num">
                <xm:f>0</xm:f>
              </x14:cfvo>
              <x14:cfvo type="max"/>
              <x14:negativeFillColor rgb="FFC7D2E3"/>
              <x14:axisColor rgb="FF000000"/>
            </x14:dataBar>
          </x14:cfRule>
          <xm:sqref>B20:B36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86"/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  <col collapsed="false" customWidth="true" hidden="false" outlineLevel="0" max="6" min="3" style="0" width="17"/>
  </cols>
  <sheetData>
    <row r="1" customFormat="false" ht="29.15" hidden="false" customHeight="false" outlineLevel="0" collapsed="false">
      <c r="A1" s="116" t="s">
        <v>62</v>
      </c>
    </row>
    <row r="2" customFormat="false" ht="22.05" hidden="false" customHeight="false" outlineLevel="0" collapsed="false">
      <c r="A2" s="117" t="s">
        <v>63</v>
      </c>
    </row>
    <row r="4" customFormat="false" ht="33.75" hidden="false" customHeight="true" outlineLevel="0" collapsed="false">
      <c r="A4" s="118" t="s">
        <v>64</v>
      </c>
      <c r="B4" s="118" t="s">
        <v>65</v>
      </c>
      <c r="C4" s="118" t="s">
        <v>66</v>
      </c>
      <c r="D4" s="118" t="s">
        <v>67</v>
      </c>
      <c r="E4" s="118" t="s">
        <v>68</v>
      </c>
      <c r="F4" s="118" t="s">
        <v>69</v>
      </c>
    </row>
    <row r="5" customFormat="false" ht="22.05" hidden="false" customHeight="false" outlineLevel="0" collapsed="false">
      <c r="A5" s="119" t="s">
        <v>70</v>
      </c>
      <c r="B5" s="119" t="s">
        <v>71</v>
      </c>
      <c r="C5" s="41" t="n">
        <v>3084.29</v>
      </c>
      <c r="D5" s="41" t="n">
        <v>2276.71</v>
      </c>
      <c r="E5" s="41" t="n">
        <v>81.09</v>
      </c>
      <c r="F5" s="41" t="n">
        <v>5442.09</v>
      </c>
    </row>
    <row r="6" customFormat="false" ht="22.05" hidden="false" customHeight="false" outlineLevel="0" collapsed="false">
      <c r="A6" s="119" t="s">
        <v>70</v>
      </c>
      <c r="B6" s="119" t="s">
        <v>72</v>
      </c>
      <c r="C6" s="41" t="n">
        <v>744.95</v>
      </c>
      <c r="D6" s="41" t="n">
        <v>788.65</v>
      </c>
      <c r="E6" s="41" t="n">
        <v>81.51</v>
      </c>
      <c r="F6" s="41" t="n">
        <v>1615.11</v>
      </c>
    </row>
    <row r="7" customFormat="false" ht="22.05" hidden="false" customHeight="false" outlineLevel="0" collapsed="false">
      <c r="A7" s="120" t="s">
        <v>73</v>
      </c>
      <c r="B7" s="120" t="s">
        <v>74</v>
      </c>
      <c r="C7" s="43" t="n">
        <v>5019</v>
      </c>
      <c r="D7" s="43" t="n">
        <v>3910.41</v>
      </c>
      <c r="E7" s="43" t="n">
        <v>224.41</v>
      </c>
      <c r="F7" s="43" t="n">
        <v>9153.82</v>
      </c>
    </row>
    <row r="8" customFormat="false" ht="22.05" hidden="false" customHeight="false" outlineLevel="0" collapsed="false">
      <c r="A8" s="120" t="s">
        <v>73</v>
      </c>
      <c r="B8" s="120" t="s">
        <v>75</v>
      </c>
      <c r="C8" s="43" t="n">
        <v>0</v>
      </c>
      <c r="D8" s="43" t="n">
        <v>0</v>
      </c>
      <c r="E8" s="43" t="n">
        <v>293.47</v>
      </c>
      <c r="F8" s="43" t="n">
        <v>293.47</v>
      </c>
    </row>
    <row r="9" customFormat="false" ht="22.05" hidden="false" customHeight="false" outlineLevel="0" collapsed="false">
      <c r="A9" s="121" t="s">
        <v>76</v>
      </c>
      <c r="B9" s="121"/>
      <c r="C9" s="122" t="n">
        <f aca="false">C5+C6</f>
        <v>3829.24</v>
      </c>
      <c r="D9" s="122" t="n">
        <f aca="false">D5+D6</f>
        <v>3065.36</v>
      </c>
      <c r="E9" s="122" t="n">
        <f aca="false">E5+E6</f>
        <v>162.6</v>
      </c>
      <c r="F9" s="122" t="n">
        <f aca="false">F5+F6</f>
        <v>7057.2</v>
      </c>
    </row>
    <row r="10" customFormat="false" ht="22.05" hidden="false" customHeight="false" outlineLevel="0" collapsed="false">
      <c r="A10" s="123" t="s">
        <v>77</v>
      </c>
      <c r="B10" s="123"/>
      <c r="C10" s="124" t="n">
        <f aca="false">C7+C8</f>
        <v>5019</v>
      </c>
      <c r="D10" s="124" t="n">
        <f aca="false">D7+D8</f>
        <v>3910.41</v>
      </c>
      <c r="E10" s="124" t="n">
        <f aca="false">E7+E8</f>
        <v>517.88</v>
      </c>
      <c r="F10" s="124" t="n">
        <f aca="false">F7+F8</f>
        <v>9447.29</v>
      </c>
    </row>
    <row r="11" customFormat="false" ht="22.05" hidden="false" customHeight="false" outlineLevel="0" collapsed="false">
      <c r="A11" s="125" t="s">
        <v>78</v>
      </c>
      <c r="B11" s="125"/>
      <c r="C11" s="126" t="n">
        <f aca="false">C5+C6+C7+C8</f>
        <v>8848.24</v>
      </c>
      <c r="D11" s="126" t="n">
        <f aca="false">D5+D6+D7+D8</f>
        <v>6975.77</v>
      </c>
      <c r="E11" s="126" t="n">
        <f aca="false">E5+E6+E7+E8</f>
        <v>680.48</v>
      </c>
      <c r="F11" s="126" t="n">
        <f aca="false">F5+F6+F7+F8</f>
        <v>16504.49</v>
      </c>
    </row>
    <row r="12" customFormat="false" ht="22.05" hidden="false" customHeight="false" outlineLevel="0" collapsed="false">
      <c r="A12" s="127" t="s">
        <v>79</v>
      </c>
      <c r="B12" s="127"/>
      <c r="C12" s="128" t="n">
        <f aca="false">IF(C11=0,0,C10/C11)</f>
        <v>0.567231449418189</v>
      </c>
      <c r="D12" s="128" t="n">
        <f aca="false">IF(D11=0,0,D10/D11)</f>
        <v>0.560570374309933</v>
      </c>
      <c r="E12" s="128" t="n">
        <f aca="false">IF(E11=0,0,E10/E11)</f>
        <v>0.76105102280743</v>
      </c>
      <c r="F12" s="128" t="n">
        <f aca="false">IF(F11=0,0,F10/F11)</f>
        <v>0.57240726614394</v>
      </c>
    </row>
    <row r="14" customFormat="false" ht="23.25" hidden="false" customHeight="false" outlineLevel="0" collapsed="false">
      <c r="A14" s="129" t="s">
        <v>80</v>
      </c>
    </row>
    <row r="15" customFormat="false" ht="33.75" hidden="false" customHeight="true" outlineLevel="0" collapsed="false">
      <c r="A15" s="5" t="s">
        <v>81</v>
      </c>
      <c r="B15" s="5"/>
      <c r="C15" s="130" t="s">
        <v>66</v>
      </c>
      <c r="D15" s="130" t="s">
        <v>67</v>
      </c>
      <c r="E15" s="130" t="s">
        <v>68</v>
      </c>
      <c r="F15" s="130" t="s">
        <v>69</v>
      </c>
    </row>
    <row r="16" customFormat="false" ht="22.05" hidden="false" customHeight="false" outlineLevel="0" collapsed="false">
      <c r="A16" s="19" t="s">
        <v>82</v>
      </c>
      <c r="B16" s="19"/>
      <c r="C16" s="21" t="n">
        <v>5019</v>
      </c>
      <c r="D16" s="21" t="n">
        <v>3910.41</v>
      </c>
      <c r="E16" s="21" t="n">
        <v>517.88</v>
      </c>
      <c r="F16" s="21" t="n">
        <v>9447.29</v>
      </c>
    </row>
    <row r="17" customFormat="false" ht="22.05" hidden="false" customHeight="false" outlineLevel="0" collapsed="false">
      <c r="A17" s="19" t="s">
        <v>83</v>
      </c>
      <c r="B17" s="19"/>
      <c r="C17" s="21" t="n">
        <v>20</v>
      </c>
      <c r="D17" s="21" t="n">
        <v>45</v>
      </c>
      <c r="E17" s="21" t="n">
        <v>3</v>
      </c>
      <c r="F17" s="21" t="n">
        <v>68</v>
      </c>
    </row>
    <row r="18" customFormat="false" ht="22.05" hidden="false" customHeight="false" outlineLevel="0" collapsed="false">
      <c r="A18" s="19" t="s">
        <v>84</v>
      </c>
      <c r="B18" s="19"/>
      <c r="C18" s="21" t="n">
        <v>10</v>
      </c>
      <c r="D18" s="21" t="n">
        <v>15</v>
      </c>
      <c r="E18" s="21" t="n">
        <v>2</v>
      </c>
      <c r="F18" s="21" t="n">
        <v>27</v>
      </c>
    </row>
    <row r="19" customFormat="false" ht="22.05" hidden="false" customHeight="false" outlineLevel="0" collapsed="false">
      <c r="A19" s="19" t="s">
        <v>85</v>
      </c>
      <c r="B19" s="19"/>
      <c r="C19" s="21" t="n">
        <v>1</v>
      </c>
      <c r="D19" s="21" t="n">
        <v>0</v>
      </c>
      <c r="E19" s="21" t="n">
        <v>0</v>
      </c>
      <c r="F19" s="21" t="n">
        <v>1</v>
      </c>
    </row>
    <row r="20" customFormat="false" ht="22.05" hidden="false" customHeight="false" outlineLevel="0" collapsed="false">
      <c r="A20" s="19" t="s">
        <v>86</v>
      </c>
      <c r="B20" s="19"/>
      <c r="C20" s="21" t="n">
        <v>179</v>
      </c>
      <c r="D20" s="21" t="n">
        <v>0</v>
      </c>
      <c r="E20" s="21" t="n">
        <v>0</v>
      </c>
      <c r="F20" s="21" t="n">
        <v>179</v>
      </c>
    </row>
    <row r="21" customFormat="false" ht="22.05" hidden="false" customHeight="false" outlineLevel="0" collapsed="false">
      <c r="A21" s="131" t="s">
        <v>87</v>
      </c>
      <c r="B21" s="131"/>
      <c r="C21" s="132" t="n">
        <f aca="false">IF(C17=0,0,C16/C17)</f>
        <v>250.95</v>
      </c>
      <c r="D21" s="132" t="n">
        <f aca="false">IF(D17=0,0,D16/D17)</f>
        <v>86.898</v>
      </c>
      <c r="E21" s="132" t="n">
        <f aca="false">IF(E17=0,0,E16/E17)</f>
        <v>172.626666666667</v>
      </c>
      <c r="F21" s="132" t="n">
        <f aca="false">IF(F17=0,0,F16/F17)</f>
        <v>138.930735294118</v>
      </c>
    </row>
    <row r="22" customFormat="false" ht="22.05" hidden="false" customHeight="false" outlineLevel="0" collapsed="false">
      <c r="A22" s="131" t="s">
        <v>88</v>
      </c>
      <c r="B22" s="131"/>
      <c r="C22" s="132" t="n">
        <f aca="false">IF(C18=0,0,C16/C18)</f>
        <v>501.9</v>
      </c>
      <c r="D22" s="132" t="n">
        <f aca="false">IF(D18=0,0,D16/D18)</f>
        <v>260.694</v>
      </c>
      <c r="E22" s="132" t="n">
        <f aca="false">IF(E18=0,0,E16/E18)</f>
        <v>258.94</v>
      </c>
      <c r="F22" s="132" t="n">
        <f aca="false">IF(F18=0,0,F16/F18)</f>
        <v>349.89962962963</v>
      </c>
    </row>
    <row r="23" customFormat="false" ht="22.05" hidden="false" customHeight="false" outlineLevel="0" collapsed="false">
      <c r="A23" s="131" t="s">
        <v>39</v>
      </c>
      <c r="B23" s="131"/>
      <c r="C23" s="133" t="n">
        <f aca="false">IF(C19=0,0,C16/C19)</f>
        <v>5019</v>
      </c>
      <c r="D23" s="133" t="n">
        <f aca="false">IF(D19=0,0,D16/D19)</f>
        <v>0</v>
      </c>
      <c r="E23" s="133" t="n">
        <f aca="false">IF(E19=0,0,E16/E19)</f>
        <v>0</v>
      </c>
      <c r="F23" s="133" t="n">
        <f aca="false">IF(F19=0,0,F16/F19)</f>
        <v>9447.29</v>
      </c>
    </row>
    <row r="24" customFormat="false" ht="22.05" hidden="false" customHeight="false" outlineLevel="0" collapsed="false">
      <c r="A24" s="131" t="s">
        <v>40</v>
      </c>
      <c r="B24" s="131"/>
      <c r="C24" s="134" t="n">
        <f aca="false">IF(C16=0,0,C20/C16)</f>
        <v>0.0356644749950189</v>
      </c>
      <c r="D24" s="134" t="n">
        <f aca="false">IF(D16=0,0,D20/D16)</f>
        <v>0</v>
      </c>
      <c r="E24" s="134" t="n">
        <f aca="false">IF(E16=0,0,E20/E16)</f>
        <v>0</v>
      </c>
      <c r="F24" s="134" t="n">
        <f aca="false">IF(F16=0,0,F20/F16)</f>
        <v>0.0189472324867766</v>
      </c>
    </row>
    <row r="26" customFormat="false" ht="23.25" hidden="false" customHeight="false" outlineLevel="0" collapsed="false">
      <c r="A26" s="135" t="s">
        <v>89</v>
      </c>
    </row>
    <row r="27" customFormat="false" ht="33.75" hidden="false" customHeight="true" outlineLevel="0" collapsed="false">
      <c r="A27" s="4" t="s">
        <v>81</v>
      </c>
      <c r="B27" s="4"/>
      <c r="C27" s="136" t="s">
        <v>66</v>
      </c>
      <c r="D27" s="136" t="s">
        <v>67</v>
      </c>
      <c r="E27" s="136" t="s">
        <v>68</v>
      </c>
      <c r="F27" s="136" t="s">
        <v>69</v>
      </c>
    </row>
    <row r="28" customFormat="false" ht="22.05" hidden="false" customHeight="false" outlineLevel="0" collapsed="false">
      <c r="A28" s="19" t="s">
        <v>90</v>
      </c>
      <c r="B28" s="19"/>
      <c r="C28" s="21" t="n">
        <v>162</v>
      </c>
      <c r="D28" s="21" t="n">
        <v>188</v>
      </c>
      <c r="E28" s="21" t="n">
        <v>4</v>
      </c>
      <c r="F28" s="21" t="n">
        <v>354</v>
      </c>
    </row>
    <row r="29" customFormat="false" ht="22.05" hidden="false" customHeight="false" outlineLevel="0" collapsed="false">
      <c r="A29" s="19" t="s">
        <v>91</v>
      </c>
      <c r="B29" s="19"/>
      <c r="C29" s="21" t="n">
        <v>2</v>
      </c>
      <c r="D29" s="21" t="n">
        <v>7</v>
      </c>
      <c r="E29" s="21" t="n">
        <v>0</v>
      </c>
      <c r="F29" s="21" t="n">
        <v>9</v>
      </c>
    </row>
    <row r="30" customFormat="false" ht="22.05" hidden="false" customHeight="false" outlineLevel="0" collapsed="false">
      <c r="A30" s="19" t="s">
        <v>92</v>
      </c>
      <c r="B30" s="19"/>
      <c r="C30" s="21" t="n">
        <v>74</v>
      </c>
      <c r="D30" s="21" t="n">
        <v>118</v>
      </c>
      <c r="E30" s="21" t="n">
        <v>0</v>
      </c>
      <c r="F30" s="21" t="n">
        <v>192</v>
      </c>
    </row>
    <row r="31" customFormat="false" ht="22.05" hidden="false" customHeight="false" outlineLevel="0" collapsed="false">
      <c r="A31" s="19" t="s">
        <v>93</v>
      </c>
      <c r="B31" s="19"/>
      <c r="C31" s="21" t="n">
        <v>1734.4</v>
      </c>
      <c r="D31" s="21" t="n">
        <v>1333.3</v>
      </c>
      <c r="E31" s="21" t="n">
        <v>0</v>
      </c>
      <c r="F31" s="21" t="n">
        <v>3067.7</v>
      </c>
    </row>
    <row r="32" customFormat="false" ht="22.05" hidden="false" customHeight="false" outlineLevel="0" collapsed="false">
      <c r="A32" s="137" t="s">
        <v>30</v>
      </c>
      <c r="B32" s="137"/>
      <c r="C32" s="138" t="n">
        <f aca="false">IF(C28=0,0,C9/C28)</f>
        <v>23.6372839506173</v>
      </c>
      <c r="D32" s="138" t="n">
        <f aca="false">IF(D28=0,0,D9/D28)</f>
        <v>16.3051063829787</v>
      </c>
      <c r="E32" s="138" t="n">
        <f aca="false">IF(E28=0,0,E9/E28)</f>
        <v>40.65</v>
      </c>
      <c r="F32" s="138" t="n">
        <f aca="false">IF(F28=0,0,F9/F28)</f>
        <v>19.935593220339</v>
      </c>
    </row>
    <row r="33" customFormat="false" ht="22.05" hidden="false" customHeight="false" outlineLevel="0" collapsed="false">
      <c r="A33" s="137" t="s">
        <v>31</v>
      </c>
      <c r="B33" s="137"/>
      <c r="C33" s="139" t="n">
        <f aca="false">IF(C29=0,0,C9/C29)</f>
        <v>1914.62</v>
      </c>
      <c r="D33" s="139" t="n">
        <f aca="false">IF(D29=0,0,D9/D29)</f>
        <v>437.908571428571</v>
      </c>
      <c r="E33" s="139" t="n">
        <f aca="false">IF(E29=0,0,E9/E29)</f>
        <v>0</v>
      </c>
      <c r="F33" s="139" t="n">
        <f aca="false">IF(F29=0,0,F9/F29)</f>
        <v>784.133333333333</v>
      </c>
    </row>
    <row r="34" customFormat="false" ht="22.05" hidden="false" customHeight="false" outlineLevel="0" collapsed="false">
      <c r="A34" s="137" t="s">
        <v>32</v>
      </c>
      <c r="B34" s="137"/>
      <c r="C34" s="138" t="n">
        <f aca="false">IF(C30=0,0,C9/C30)</f>
        <v>51.7464864864865</v>
      </c>
      <c r="D34" s="138" t="n">
        <f aca="false">IF(D30=0,0,D9/D30)</f>
        <v>25.9776271186441</v>
      </c>
      <c r="E34" s="138" t="n">
        <f aca="false">IF(E30=0,0,E9/E30)</f>
        <v>0</v>
      </c>
      <c r="F34" s="138" t="n">
        <f aca="false">IF(F30=0,0,F9/F30)</f>
        <v>36.75625</v>
      </c>
    </row>
    <row r="35" customFormat="false" ht="22.05" hidden="false" customHeight="false" outlineLevel="0" collapsed="false">
      <c r="A35" s="64" t="s">
        <v>94</v>
      </c>
      <c r="B35" s="64"/>
      <c r="C35" s="65" t="n">
        <f aca="false">IF(C29=0,0,C11/C29)</f>
        <v>4424.12</v>
      </c>
      <c r="D35" s="65" t="n">
        <f aca="false">IF(D29=0,0,D11/D29)</f>
        <v>996.538571428572</v>
      </c>
      <c r="E35" s="65" t="n">
        <f aca="false">IF(E29=0,0,E11/E29)</f>
        <v>0</v>
      </c>
      <c r="F35" s="65" t="n">
        <f aca="false">IF(F29=0,0,F11/F29)</f>
        <v>1833.83222222222</v>
      </c>
    </row>
    <row r="37" customFormat="false" ht="20.9" hidden="false" customHeight="false" outlineLevel="0" collapsed="false">
      <c r="A37" s="109" t="s">
        <v>95</v>
      </c>
    </row>
  </sheetData>
  <mergeCells count="23">
    <mergeCell ref="A9:B9"/>
    <mergeCell ref="A10:B10"/>
    <mergeCell ref="A11:B11"/>
    <mergeCell ref="A12:B12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5563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0"/>
    <col collapsed="false" customWidth="true" hidden="false" outlineLevel="0" max="3" min="3" style="0" width="22"/>
    <col collapsed="false" customWidth="true" hidden="false" outlineLevel="0" max="4" min="4" style="0" width="12"/>
  </cols>
  <sheetData>
    <row r="1" customFormat="false" ht="29.15" hidden="false" customHeight="false" outlineLevel="0" collapsed="false">
      <c r="A1" s="116" t="s">
        <v>96</v>
      </c>
    </row>
    <row r="3" customFormat="false" ht="94.5" hidden="false" customHeight="true" outlineLevel="0" collapsed="false">
      <c r="A3" s="140" t="s">
        <v>97</v>
      </c>
      <c r="B3" s="141" t="s">
        <v>98</v>
      </c>
    </row>
    <row r="4" customFormat="false" ht="94.5" hidden="false" customHeight="true" outlineLevel="0" collapsed="false">
      <c r="A4" s="140" t="s">
        <v>99</v>
      </c>
      <c r="B4" s="141" t="s">
        <v>100</v>
      </c>
    </row>
    <row r="5" customFormat="false" ht="94.5" hidden="false" customHeight="true" outlineLevel="0" collapsed="false">
      <c r="A5" s="140" t="s">
        <v>101</v>
      </c>
      <c r="B5" s="141" t="s">
        <v>102</v>
      </c>
    </row>
    <row r="6" customFormat="false" ht="94.5" hidden="false" customHeight="true" outlineLevel="0" collapsed="false">
      <c r="A6" s="140" t="s">
        <v>103</v>
      </c>
      <c r="B6" s="141" t="s">
        <v>104</v>
      </c>
    </row>
    <row r="7" customFormat="false" ht="94.5" hidden="false" customHeight="true" outlineLevel="0" collapsed="false">
      <c r="A7" s="140" t="s">
        <v>105</v>
      </c>
      <c r="B7" s="141" t="s">
        <v>106</v>
      </c>
    </row>
    <row r="8" customFormat="false" ht="94.5" hidden="false" customHeight="true" outlineLevel="0" collapsed="false">
      <c r="A8" s="140" t="s">
        <v>107</v>
      </c>
      <c r="B8" s="141" t="s">
        <v>108</v>
      </c>
    </row>
    <row r="10" customFormat="false" ht="23.25" hidden="false" customHeight="false" outlineLevel="0" collapsed="false">
      <c r="A10" s="142" t="s">
        <v>109</v>
      </c>
    </row>
    <row r="11" customFormat="false" ht="44.75" hidden="false" customHeight="false" outlineLevel="0" collapsed="false">
      <c r="A11" s="118" t="s">
        <v>65</v>
      </c>
      <c r="B11" s="118" t="s">
        <v>110</v>
      </c>
      <c r="C11" s="118" t="s">
        <v>111</v>
      </c>
      <c r="D11" s="118" t="s">
        <v>112</v>
      </c>
    </row>
    <row r="12" customFormat="false" ht="22.05" hidden="false" customHeight="false" outlineLevel="0" collapsed="false">
      <c r="A12" s="143" t="s">
        <v>113</v>
      </c>
      <c r="B12" s="144" t="n">
        <v>11476.91</v>
      </c>
      <c r="C12" s="144" t="n">
        <v>11476.91</v>
      </c>
      <c r="D12" s="145" t="n">
        <f aca="false">B12-C12</f>
        <v>0</v>
      </c>
    </row>
    <row r="13" customFormat="false" ht="22.05" hidden="false" customHeight="false" outlineLevel="0" collapsed="false">
      <c r="A13" s="143" t="s">
        <v>114</v>
      </c>
      <c r="B13" s="144" t="n">
        <v>2347.45</v>
      </c>
      <c r="C13" s="144" t="n">
        <v>2347.24</v>
      </c>
      <c r="D13" s="145" t="n">
        <f aca="false">B13-C13</f>
        <v>0.210000000000036</v>
      </c>
    </row>
    <row r="14" customFormat="false" ht="22.05" hidden="false" customHeight="false" outlineLevel="0" collapsed="false">
      <c r="A14" s="143" t="s">
        <v>115</v>
      </c>
      <c r="B14" s="144" t="n">
        <v>11534.1</v>
      </c>
      <c r="C14" s="144" t="n">
        <v>11533.53</v>
      </c>
      <c r="D14" s="145" t="n">
        <f aca="false">B14-C14</f>
        <v>0.569999999999709</v>
      </c>
    </row>
    <row r="15" customFormat="false" ht="22.05" hidden="false" customHeight="false" outlineLevel="0" collapsed="false">
      <c r="A15" s="143" t="s">
        <v>116</v>
      </c>
      <c r="B15" s="144" t="n">
        <v>293.47</v>
      </c>
      <c r="C15" s="144" t="n">
        <v>292.57</v>
      </c>
      <c r="D15" s="145" t="n">
        <f aca="false">B15-C15</f>
        <v>0.900000000000034</v>
      </c>
    </row>
    <row r="16" customFormat="false" ht="20.9" hidden="false" customHeight="false" outlineLevel="0" collapsed="false">
      <c r="A16" s="109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2026-09-28T10:21:59Z</dcterms:created>
  <dc:creator>openpyxl</dc:creator>
  <dc:description/>
  <dc:language>en-US</dc:language>
  <cp:lastModifiedBy/>
  <dcterms:modified xsi:type="dcterms:W3CDTF">2026-09-28T10:21:59Z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